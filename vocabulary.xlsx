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<sst xmlns="http://schemas.openxmlformats.org/spreadsheetml/2006/main" count="7161" uniqueCount="5370">
  <si>
    <t>word</t>
  </si>
  <si>
    <t>translation</t>
  </si>
  <si>
    <t>toeic_target</t>
  </si>
  <si>
    <t>sentence</t>
  </si>
  <si>
    <t>trans_s</t>
  </si>
  <si>
    <t>ability</t>
  </si>
  <si>
    <t>n. 能力；才能</t>
  </si>
  <si>
    <t>中級</t>
  </si>
  <si>
    <t>She has the ability to solve complex problems quickly.</t>
  </si>
  <si>
    <t>agreement</t>
  </si>
  <si>
    <t>n. 協議；同意；一致</t>
  </si>
  <si>
    <t>1. They signed a trade agreement between the two countries. 2. We reached an agreement on the project deadline. 3. Her story was in agreement with the witness's account.</t>
  </si>
  <si>
    <t>enjoyment</t>
  </si>
  <si>
    <t>n. 樂趣</t>
  </si>
  <si>
    <t>She gets a lot of enjoyment from playing the piano.</t>
  </si>
  <si>
    <t>glove(s)</t>
  </si>
  <si>
    <t>n. 手套</t>
  </si>
  <si>
    <t>初級</t>
  </si>
  <si>
    <t>She put on her gloves before cleaning the house.</t>
  </si>
  <si>
    <t>goddess</t>
  </si>
  <si>
    <t>n. 女神</t>
  </si>
  <si>
    <t>In Greek mythology, Athena is the goddess of wisdom.</t>
  </si>
  <si>
    <t>media</t>
  </si>
  <si>
    <t>n. 媒體</t>
  </si>
  <si>
    <t>The media plays an important role in shaping public opinion</t>
  </si>
  <si>
    <t>mine</t>
  </si>
  <si>
    <t>n. 礦；礦山 v. 採礦</t>
  </si>
  <si>
    <t>1. The workers went deep underground to work in the mine. 2. They mine coal in this region.</t>
  </si>
  <si>
    <t>online</t>
  </si>
  <si>
    <t>adj. 線上的 adv. 線上地</t>
  </si>
  <si>
    <t>1. Many people shop using online stores nowadays. 2. She is online and available to chat.</t>
  </si>
  <si>
    <t>payment</t>
  </si>
  <si>
    <t>n. 支付；薪水</t>
  </si>
  <si>
    <t>The payment was made by credit card.</t>
  </si>
  <si>
    <t>photograph</t>
  </si>
  <si>
    <t>n. 照片</t>
  </si>
  <si>
    <t>He took a photograph of the sunset.</t>
  </si>
  <si>
    <t>photo</t>
  </si>
  <si>
    <t>v. 拍照</t>
  </si>
  <si>
    <t>Can you take a photo of me?</t>
  </si>
  <si>
    <t>sore</t>
  </si>
  <si>
    <t>adj. 疼痛的 n. 痛處，傷口；傷心事</t>
  </si>
  <si>
    <t>1. After running, my legs felt sore. 2. He has a sore on his arm that won’t heal.</t>
  </si>
  <si>
    <t>stair</t>
  </si>
  <si>
    <t>n. 樓梯</t>
  </si>
  <si>
    <t>She ran up the stairs quickly.</t>
  </si>
  <si>
    <t>taxi/taxicab/cab</t>
  </si>
  <si>
    <t>n. 計程車</t>
  </si>
  <si>
    <t>I took a taxi to the airport.</t>
  </si>
  <si>
    <t>treatment</t>
  </si>
  <si>
    <t>n. 對待；待遇；治療法</t>
  </si>
  <si>
    <t>1. The treatment of waste is important for the environment. 2. She was given special treatment at the hotel. 3. The patient received treatment for the infection.</t>
  </si>
  <si>
    <t>absence</t>
  </si>
  <si>
    <t>n. 缺席；缺少</t>
  </si>
  <si>
    <t>1. Her absence from the meeting was noticed by everyone 2. The absence of evidence made it hard to solve the case.</t>
  </si>
  <si>
    <t>account</t>
  </si>
  <si>
    <t>n. 帳戶；描述 v. 認為；解釋</t>
  </si>
  <si>
    <t>1. I opened a bank account last week. 2. He gave a detailed account of what happened.</t>
  </si>
  <si>
    <t>actual</t>
  </si>
  <si>
    <t>adj. 實際的</t>
  </si>
  <si>
    <t>The movie is based on actual events.</t>
  </si>
  <si>
    <t>addition</t>
  </si>
  <si>
    <t>n. 增加；附加；加法</t>
  </si>
  <si>
    <t>1. The new employee is a great addition to our team. 2. They built an addition to the house for extra space. 3. She’s learning addition and subtraction in math class.</t>
  </si>
  <si>
    <t>admit</t>
  </si>
  <si>
    <t>v. 承認；允許進入；接納</t>
  </si>
  <si>
    <t>1. He admitted that he made a mistake. 2. Only employees are admitted beyond this point. 3. They admitted him to the hospital last night.</t>
  </si>
  <si>
    <t>advance</t>
  </si>
  <si>
    <t>n. 前進；發展；預付 v. 促進；進步</t>
  </si>
  <si>
    <t>1. The soldiers advanced toward the enemy base. 2. There have been major advances in medical technology. 3. We need to make an advance booking for the hotel. 4. He received an advance on his salary.</t>
  </si>
  <si>
    <t>affair</t>
  </si>
  <si>
    <t>n. 事情；事務；(多指不正當的)戀情；事件</t>
  </si>
  <si>
    <t>1. He always tries to keep his personal affairs private. 2. The president promised not to interfere in foreign affairs. 3. He had an affair with his coworker. 4. The wedding was a grand affair.</t>
  </si>
  <si>
    <t>aid</t>
  </si>
  <si>
    <t>n. 幫助；助聽器 v. 幫助</t>
  </si>
  <si>
    <t>1. The country sent food aid to the disaster victims. 2. Hearing aids help people with hearing loss. 3. The organization aids refugees by providing shelter and medical care.</t>
  </si>
  <si>
    <t>aircraft</t>
  </si>
  <si>
    <t>n. 航空器；飛機</t>
  </si>
  <si>
    <t>The aircraft took off smoothly despite the bad weather.</t>
  </si>
  <si>
    <t>anytime</t>
  </si>
  <si>
    <t>adv. 任何時候</t>
  </si>
  <si>
    <t>You can call me anytime if you need help</t>
  </si>
  <si>
    <t>anyway</t>
  </si>
  <si>
    <t>adv. 無論如何</t>
  </si>
  <si>
    <t>1. Anyway, let’s finish the work first. 2. It’s raining, but I’ll go out anyway.</t>
  </si>
  <si>
    <t>anywhere/anyplace</t>
  </si>
  <si>
    <t>adv. 在任何地方</t>
  </si>
  <si>
    <t>1. I can go anywhere you want.</t>
  </si>
  <si>
    <t>ape</t>
  </si>
  <si>
    <t>n. 大猩猩 v.模仿</t>
  </si>
  <si>
    <t>1.The ape climbed the tree quickly. 2.He tried to ape his boss’s behavior.</t>
  </si>
  <si>
    <t>appearance</t>
  </si>
  <si>
    <t>n. 外貌；出現，露面</t>
  </si>
  <si>
    <t>1. Her appearance changed a lot after the haircut. 2. The sudden appearance of the cat startled me.</t>
  </si>
  <si>
    <t>appetite</t>
  </si>
  <si>
    <t>n.胃口；食慾</t>
  </si>
  <si>
    <t>1. He has a big appetite and can eat a lot. 2. Stress can sometimes reduce your appetite.</t>
  </si>
  <si>
    <t>apply</t>
  </si>
  <si>
    <t>v. 申請；應用；塗抹</t>
  </si>
  <si>
    <t>1. She applied for a job at the company. 2. You can apply this method to solve other problems. 3. Apply the cream to your skin twice a day.</t>
  </si>
  <si>
    <t>approach</t>
  </si>
  <si>
    <t>n. 方法 v. 接近；靠近</t>
  </si>
  <si>
    <t>1. We need a new approach to solve this problem. 2. As we approached the station, it started to rain.</t>
  </si>
  <si>
    <t>argument</t>
  </si>
  <si>
    <t>n. 爭論，爭吵；論點</t>
  </si>
  <si>
    <t>1. They had an argument about money last night. 2. Her main argument was that the law is unfair.</t>
  </si>
  <si>
    <t>arrangement</t>
  </si>
  <si>
    <t>n. 安排；布置；協議，約定</t>
  </si>
  <si>
    <t>1. She made all the travel arrangements for the trip. 2. The flower arrangement on the table is beautiful. 3. We had an arrangement to meet at 7 p.m.</t>
  </si>
  <si>
    <t>arrival</t>
  </si>
  <si>
    <t>n. 到達；(某人或某事)到來</t>
  </si>
  <si>
    <t>1. Our arrival at the hotel was delayed by traffic. 2. The arrival of spring brought warmer weather.</t>
  </si>
  <si>
    <t>arrow</t>
  </si>
  <si>
    <t>n. 箭</t>
  </si>
  <si>
    <t>Follow the arrow to find the exit.</t>
  </si>
  <si>
    <t>article</t>
  </si>
  <si>
    <t>n. 文章；冠詞</t>
  </si>
  <si>
    <t>1. I read an interesting article about space travel. 2. “The” is a definite article.</t>
  </si>
  <si>
    <t>attempt</t>
  </si>
  <si>
    <t>n./v. 企圖；嘗試</t>
  </si>
  <si>
    <t>1. His attempt to break the record failed. 2. She attempted to lift the heavy box by herself.</t>
  </si>
  <si>
    <t>attend</t>
  </si>
  <si>
    <t>v. 參加；照顧</t>
  </si>
  <si>
    <t>1. She will attend the meeting tomorrow morning. 2. The nurse attended the patient all night.</t>
  </si>
  <si>
    <t>author</t>
  </si>
  <si>
    <t>n. 作者；發起人 v. 創作；發起</t>
  </si>
  <si>
    <t>1. J.K. Rowling is the author of the Harry Potter series. 2. He was the author of the new company policy. 3. She authored several best-selling novels</t>
  </si>
  <si>
    <t>average</t>
  </si>
  <si>
    <t>adj. 平均的；一般的 n. 平均；平均數 v. 平均為...；使平衡</t>
  </si>
  <si>
    <t>1. He’s just an average student, not particularly good or bad. 2. The average of 80, 90, and 100 is 90. 3. She averages 8 hours of sleep per night.</t>
  </si>
  <si>
    <t>backward</t>
  </si>
  <si>
    <t>adv. 向後地 adj. 倒退的；落後的</t>
  </si>
  <si>
    <t>1. He took a step backward to avoid the falling object. 2. The company experienced backward movement in sales last quarter. 3. The region is still backward in terms of technology.</t>
  </si>
  <si>
    <t>balance</t>
  </si>
  <si>
    <t>n. 平衡，均衡；餘額 v. 平衡</t>
  </si>
  <si>
    <t>1. She lost her balance and fell. 2. I checked my bank account balance online. 3. He balanced the books to avoid mistakes.</t>
  </si>
  <si>
    <t>bar</t>
  </si>
  <si>
    <t>n. 棒；沙洲；酒吧 v. 阻塞；禁止</t>
  </si>
  <si>
    <t>1. He ate a chocolate bar. 2. We met at a bar for drinks after work. 3. The fence acted as a bar to keep people out.</t>
  </si>
  <si>
    <t>basics</t>
  </si>
  <si>
    <t>n. 基礎；基本原理</t>
  </si>
  <si>
    <t>1. Before advanced lessons, you need to understand the basics. 2. The class covers the basics of computer programming.</t>
  </si>
  <si>
    <t>basis</t>
  </si>
  <si>
    <t>n. 基礎；根據；原因</t>
  </si>
  <si>
    <t>1. Trust is the basis of a good relationship. 2. Decisions were made on the basis of available data.</t>
  </si>
  <si>
    <t>battle</t>
  </si>
  <si>
    <t>n. 戰鬥；爭論，爭鬥 v. 與...作戰</t>
  </si>
  <si>
    <t>1. The soldiers fought bravely in the battle. 2. The two companies are in a battle for market share. 3. She is battling a serious illness.</t>
  </si>
  <si>
    <t>beg</t>
  </si>
  <si>
    <t>v. 乞求；乞討</t>
  </si>
  <si>
    <t>1. He begged her to stay. 2. The homeless man begged for money on the street.</t>
  </si>
  <si>
    <t>being</t>
  </si>
  <si>
    <t>n. 存在；生物</t>
  </si>
  <si>
    <t>1. Human beings have the ability to think 2. Aliens are fictional beings in many movies.</t>
  </si>
  <si>
    <t>belief</t>
  </si>
  <si>
    <t>n. 信念，信條；看法</t>
  </si>
  <si>
    <t>1. Her belief in honesty is very strong. 2. There is a common belief that exercise improves health.</t>
  </si>
  <si>
    <t>bend</t>
  </si>
  <si>
    <t>v. 使彎曲 n. 彎；曲</t>
  </si>
  <si>
    <t>1. Be careful not to bend the metal rod. 2. The car slowed down as it approached the bend in the road.</t>
  </si>
  <si>
    <t>better</t>
  </si>
  <si>
    <t>adj. 較好的 adv. 更好地；更適當地 n. 更好的狀況 v. 改進</t>
  </si>
  <si>
    <t>1. This restaurant has better food than the one we went to last week. 2. He knows better than to lie. 3. She is trying to better her English skills.</t>
  </si>
  <si>
    <t>billion</t>
  </si>
  <si>
    <t>n. 十億；大量</t>
  </si>
  <si>
    <t>1. The company is worth over five billion dollars.</t>
  </si>
  <si>
    <t>birth</t>
  </si>
  <si>
    <t>n. 出生；分娩；誕生</t>
  </si>
  <si>
    <t>1. The baby’s birth was a joyful event for the family. 2. She gave birth to a healthy baby last night. 3. The birth of the Internet changed the world.</t>
  </si>
  <si>
    <t>biscuit</t>
  </si>
  <si>
    <t>n. 小麵包(美式)；餅乾(英式)</t>
  </si>
  <si>
    <t>She bought a pack of chocolate biscuits.</t>
  </si>
  <si>
    <t>bit</t>
  </si>
  <si>
    <t>n. 一點；部分，片段 v. 咬</t>
  </si>
  <si>
    <t>1. Can you give me a bit of sugar? 2. I only saw a bit of the movie. 3. The dog bit the mailman.</t>
  </si>
  <si>
    <t>border</t>
  </si>
  <si>
    <t>n. 邊界，國界；邊緣 v. 與...相鄰，接壤</t>
  </si>
  <si>
    <t>1. The river forms the border between the two countries. 2. There is a decorative border around the picture frame. 3. Canada borders the United States to the south.</t>
  </si>
  <si>
    <t>brain</t>
  </si>
  <si>
    <t>n. 腦袋；智力</t>
  </si>
  <si>
    <t>1. The brain controls all the functions of the body. 2. She is the brain behind the successful project.</t>
  </si>
  <si>
    <t>brand</t>
  </si>
  <si>
    <t>n. 商標；烙印 v. 烙印；給...貼標籤</t>
  </si>
  <si>
    <t>1. Nike is a well-known sports brand. 2. In the past, criminals were branded as punishment. 3. He was branded a liar after the scandal.</t>
  </si>
  <si>
    <t>brief</t>
  </si>
  <si>
    <t>adj. 短暫的 n. 概要，簡報 v. 向...簡單說明</t>
  </si>
  <si>
    <t>1. We had a brief conversation before the meeting started. 2. The lawyer gave the judge a written brief. 3. The manager briefed the team on the new project.</t>
  </si>
  <si>
    <t>brilliant</t>
  </si>
  <si>
    <t>adj. 光輝的；傑出的</t>
  </si>
  <si>
    <t>1. The stars looked brilliant in the night sky. 2. She's a brilliant scientist with many important discoveries.</t>
  </si>
  <si>
    <t>burden</t>
  </si>
  <si>
    <t>n. 重擔；負擔 v. 使...有負擔</t>
  </si>
  <si>
    <t>1. Taking care of his sick parents is a heavy burden for him. 2. I don’t want to burden you with my problems.</t>
  </si>
  <si>
    <t>camel</t>
  </si>
  <si>
    <t>n. 駱駝</t>
  </si>
  <si>
    <t>The camel can survive in the desert for a long time.</t>
  </si>
  <si>
    <t>capital</t>
  </si>
  <si>
    <t>n. 首都；大寫字母；資本 adj. 首要的；大寫字母的；資本的</t>
  </si>
  <si>
    <t>1. Paris is the capital of France. 2. Please write your name in capital letters. 3. He invested a large amount of capital in his new business. 4. Education is of capital importance to a country's future.</t>
  </si>
  <si>
    <t>cell</t>
  </si>
  <si>
    <t>n. 牢房；細胞；電池</t>
  </si>
  <si>
    <t>1. The prisoner was locked in a small cell for the night. 2. The human body is made up of trillions of cells. 3. The flashlight needs two AA cells to work.</t>
  </si>
  <si>
    <t>chain</t>
  </si>
  <si>
    <t>n. 鏈，鏈條；連鎖店；一連串 v. 拘禁；束縛</t>
  </si>
  <si>
    <t>1. He wore a gold chain around his neck. 2. This is a popular fast-food chain with stores all over the world. 3. The accident caused a chain of delays on the highway. 4. He chained his bike to the post.</t>
  </si>
  <si>
    <t>challenge</t>
  </si>
  <si>
    <t>n. 挑戰 v. 向...挑戰；質疑</t>
  </si>
  <si>
    <t>1. Climbing the mountain was a real challenge for him. 2. She challenged him to a game of chess. 3. He challenged the decision made by the manager.</t>
  </si>
  <si>
    <t>chapter</t>
  </si>
  <si>
    <t>n. 章，回；時期，階段</t>
  </si>
  <si>
    <t>1. I just finished reading Chapter 5 of the novel. 2. Moving to a new city was an exciting chapter in her life.</t>
  </si>
  <si>
    <t>chemical</t>
  </si>
  <si>
    <t>adj. 化學的 n. 化學製品</t>
  </si>
  <si>
    <t>1. The factory was shut down due to a chemical leak. 2. Some cleaning products contain harmful chemicals.</t>
  </si>
  <si>
    <t>chief</t>
  </si>
  <si>
    <t>adj. 為首的；主要的 n. 領袖</t>
  </si>
  <si>
    <t>1. His chief reason for quitting was the long working hours. 2. The chief of the tribe welcomed the visitors warmly.</t>
  </si>
  <si>
    <t>china</t>
  </si>
  <si>
    <t>n. 瓷器</t>
  </si>
  <si>
    <t>She collects antique china from the 18th century.</t>
  </si>
  <si>
    <t>chopstick(s)</t>
  </si>
  <si>
    <t>n. 筷子</t>
  </si>
  <si>
    <t>She dropped her chopsticks on the floor.</t>
  </si>
  <si>
    <t>claim</t>
  </si>
  <si>
    <t>n./v. 主張，聲稱；要求</t>
  </si>
  <si>
    <t>1. He claims that he was not at the scene of the accident. 2.The company made a claim for insurance. 3. She claimed compensation for the damaged goods.</t>
  </si>
  <si>
    <t>classic</t>
  </si>
  <si>
    <t>adj. 典型的 n. 古典著作</t>
  </si>
  <si>
    <t>1. This novel is a classic example of 19th-century literature 2. Pride and Prejudice” is considered a classic in English literature.</t>
  </si>
  <si>
    <t>click</t>
  </si>
  <si>
    <t>v. 點擊 n. 喀噠聲</t>
  </si>
  <si>
    <t>1. Click the button to start the game. 2. He heard a click as the door locked.</t>
  </si>
  <si>
    <t>cloth</t>
  </si>
  <si>
    <t>n. 布料，衣料</t>
  </si>
  <si>
    <t>She wiped the table with a clean cloth.</t>
  </si>
  <si>
    <t>clothing</t>
  </si>
  <si>
    <t>n. 衣服；覆蓋物</t>
  </si>
  <si>
    <t>The organization provided food and clothing for the victims.</t>
  </si>
  <si>
    <t>coal</t>
  </si>
  <si>
    <t>n. 煤礦</t>
  </si>
  <si>
    <t>Coal is used as a source of energy.</t>
  </si>
  <si>
    <t>cockroach/roach</t>
  </si>
  <si>
    <t>n. 蟑螂</t>
  </si>
  <si>
    <t>I saw a cockroach in the kitchen last night.</t>
  </si>
  <si>
    <t>cocoa</t>
  </si>
  <si>
    <t>n. 可可豆</t>
  </si>
  <si>
    <t>I like drinking hot cocoa in winter.</t>
  </si>
  <si>
    <t>cola/Coke</t>
  </si>
  <si>
    <t>n. 可樂</t>
  </si>
  <si>
    <t>I ordered a glass of cola.</t>
  </si>
  <si>
    <t>combine</t>
  </si>
  <si>
    <t>v. 結合</t>
  </si>
  <si>
    <t>She combines creativity with hard work to achieve success.</t>
  </si>
  <si>
    <t>comic(s)</t>
  </si>
  <si>
    <t>adj. 喜劇的 n. 漫畫，喜劇演員</t>
  </si>
  <si>
    <t>1. The movie had a lot of comic moments 2. He enjoys reading Japanese comics. 3. The comic made the audience laugh nonstop.</t>
  </si>
  <si>
    <t>commercial</t>
  </si>
  <si>
    <t>adj. 商業的 n. 電視廣告</t>
  </si>
  <si>
    <t>1. The city is a major commercial center. 2. We watched a funny commercial during the Super Bowl.</t>
  </si>
  <si>
    <t>complex</t>
  </si>
  <si>
    <t>adj. 複雜的 n. 複合物；建築群；複合體（如住宅區、心理情結）</t>
  </si>
  <si>
    <t>1. This math problem is very complex. 2. They live in a large apartment complex. 3. He has a superiority complex.</t>
  </si>
  <si>
    <t>conclude</t>
  </si>
  <si>
    <t>v. 結束；推斷</t>
  </si>
  <si>
    <t>1. The meeting concluded at 5 p.m. 2. From the evidence, we can conclude that he is innocent.</t>
  </si>
  <si>
    <t>condition</t>
  </si>
  <si>
    <t>n. 情況；條件；健康狀態 v. 決定；為...的條件</t>
  </si>
  <si>
    <t>1. The car is in good condition. 2. She works hard under difficult conditions 3. He suffers from a heart condition. 4. Your success conditions your future opportunities.</t>
  </si>
  <si>
    <t>conflict</t>
  </si>
  <si>
    <t>n./v. 衝突</t>
  </si>
  <si>
    <t>1.There was a conflict between the two countries. 2.Their stories conflict with each other.</t>
  </si>
  <si>
    <t>congratulation(s)</t>
  </si>
  <si>
    <t>n. 祝賀</t>
  </si>
  <si>
    <t>Congratulations on your graduation!</t>
  </si>
  <si>
    <t>connection</t>
  </si>
  <si>
    <t>n. 連接；關聯</t>
  </si>
  <si>
    <t>1. The internet connection is very slow today. 2. She has a connection to the company through her uncle.</t>
  </si>
  <si>
    <t>consideration</t>
  </si>
  <si>
    <t>n. 考慮；體貼；動機</t>
  </si>
  <si>
    <t>高級</t>
  </si>
  <si>
    <t>1. After careful consideration, she decided to accept the job offer. 2.He showed great consideration for the elderly.</t>
  </si>
  <si>
    <t>contact</t>
  </si>
  <si>
    <t>n./v. 接觸；聯繫</t>
  </si>
  <si>
    <t>1. Do you have the contact information for the new client? 2. Please contact me if you have any questions.</t>
  </si>
  <si>
    <t>contain</t>
  </si>
  <si>
    <t>v. 包含；容納；控制</t>
  </si>
  <si>
    <t>1. This box contains old photographs. 2. The stadium can contain 50,000 spectators. 3. Firefighters worked hard to contain the wildfire.</t>
  </si>
  <si>
    <t>countryside</t>
  </si>
  <si>
    <t>n. 鄉村</t>
  </si>
  <si>
    <t>They spent the weekend relaxing in the countryside.</t>
  </si>
  <si>
    <t>crisis</t>
  </si>
  <si>
    <t>n. 危機</t>
  </si>
  <si>
    <t>The company faced a financial crisis last year.</t>
  </si>
  <si>
    <t>crow</t>
  </si>
  <si>
    <t>n. 烏鴉；雞啼聲</t>
  </si>
  <si>
    <t>A crow was sitting on the tree branch.</t>
  </si>
  <si>
    <t>cultural</t>
  </si>
  <si>
    <t>adj. 文化的；教養的</t>
  </si>
  <si>
    <t>The festival is a celebration of the city’s cultural heritage.</t>
  </si>
  <si>
    <t>cycle</t>
  </si>
  <si>
    <t>n. 週期 v. 循環，輪轉</t>
  </si>
  <si>
    <t>The water cycle is essential for life on Earth.</t>
  </si>
  <si>
    <t>dancer</t>
  </si>
  <si>
    <t>n. 舞者</t>
  </si>
  <si>
    <t>She wants to become a professional dancer.</t>
  </si>
  <si>
    <t>data</t>
  </si>
  <si>
    <t>n. 資料，數據</t>
  </si>
  <si>
    <t>The researchers collected data from over 1,000 participants.</t>
  </si>
  <si>
    <t>debt</t>
  </si>
  <si>
    <t>n. 債</t>
  </si>
  <si>
    <t>He is trying to pay off all his credit card debt.</t>
  </si>
  <si>
    <t>delay</t>
  </si>
  <si>
    <t>n./v. 延緩</t>
  </si>
  <si>
    <t>1. There was a long delay before the train arrived. 2. They decided to delay the meeting until next week.</t>
  </si>
  <si>
    <t>delivery</t>
  </si>
  <si>
    <t>n. 運送，投遞，交貨；分娩</t>
  </si>
  <si>
    <t>1. The delivery will arrive in two days. 2. She had a smooth delivery last night.</t>
  </si>
  <si>
    <t>deny</t>
  </si>
  <si>
    <t>v. 否定，否認；不允許</t>
  </si>
  <si>
    <t>1. He denied stealing the money. 2. They denied him access to the building.</t>
  </si>
  <si>
    <t>depth</t>
  </si>
  <si>
    <t>n. 深度(實體或抽象)</t>
  </si>
  <si>
    <t>1. The pool has a depth of two meters. 2. Her speech showed great depth of understanding.</t>
  </si>
  <si>
    <t>description</t>
  </si>
  <si>
    <t>n. 描述，說明</t>
  </si>
  <si>
    <t>He gave a clear description of the suspect.</t>
  </si>
  <si>
    <t>detail</t>
  </si>
  <si>
    <t>n. 細節，詳情 v. 詳述</t>
  </si>
  <si>
    <t>1. She explained every detail of the plan. 2. The witness detailed what happened that night.</t>
  </si>
  <si>
    <t>development</t>
  </si>
  <si>
    <t>n. 發展；進展</t>
  </si>
  <si>
    <t>1. The development of new technology has changed our lives. 2. There has been a recent development in the investigation.</t>
  </si>
  <si>
    <t>dialogue</t>
  </si>
  <si>
    <t>n. 對話</t>
  </si>
  <si>
    <t>The book begins with a dialogue between a teacher and a student.</t>
  </si>
  <si>
    <t>director</t>
  </si>
  <si>
    <t>n. 主管；導演</t>
  </si>
  <si>
    <t>1. She is the marketing director of the company. 2. The movie was directed by a famous director.</t>
  </si>
  <si>
    <t>disagree</t>
  </si>
  <si>
    <t>v. 不同意；(意見、觀點)不一致</t>
  </si>
  <si>
    <t>1. I disagree with your opinion. 2. They often disagree about how to raise their children.</t>
  </si>
  <si>
    <t>disagreement</t>
  </si>
  <si>
    <t>n. 不同意；不一致；意見分歧</t>
  </si>
  <si>
    <t>1. There is a disagreement between the reports. 2. They had a serious disagreement about money.</t>
  </si>
  <si>
    <t>discovery</t>
  </si>
  <si>
    <t>n. 發現；被發現的事物</t>
  </si>
  <si>
    <t>1. The discovery of penicillin changed modern medicine. 2. This fossil is an important discovery for scientists.</t>
  </si>
  <si>
    <t>disease</t>
  </si>
  <si>
    <t>n. 疾病</t>
  </si>
  <si>
    <t>Heart disease is one of the leading causes of death worldwide.</t>
  </si>
  <si>
    <t>display</t>
  </si>
  <si>
    <t>n. 陳列；顯示；展示；顯示器 v. 陳列；顯示；展示</t>
  </si>
  <si>
    <t>1. The store displays the newest products in the front window. 2. The monitor displays the results instantly. 3. There was a beautiful flower display at the entrance. 4.The display on this phone is very clear.</t>
  </si>
  <si>
    <t>division</t>
  </si>
  <si>
    <t>n. 分割，劃分；部門，分支；除法</t>
  </si>
  <si>
    <t>1. The division of the land caused many arguments. 2. He works in the marketing division of the company. 3. Division is one of the four basic math operations.</t>
  </si>
  <si>
    <t>domestic</t>
  </si>
  <si>
    <t>adj. 家庭的；國內的；馴養的</t>
  </si>
  <si>
    <t>1. She left her job to focus on domestic responsibilities. 2. The airline only offers domestic flights. 3. Dogs and cats are common domestic animals.</t>
  </si>
  <si>
    <t>dove</t>
  </si>
  <si>
    <t>n. 鴿子</t>
  </si>
  <si>
    <t>A white dove is often a symbol of peace.</t>
  </si>
  <si>
    <t>drawing</t>
  </si>
  <si>
    <t>n. 圖畫；繪畫(行為)；抽籤</t>
  </si>
  <si>
    <t>1. She showed me a beautiful pencil drawing of a cat. 2. Drawing helps children develop creativity. 3. They held a drawing to decide who would go first.</t>
  </si>
  <si>
    <t>drug</t>
  </si>
  <si>
    <t>n. 藥品；毒品 v. 服麻醉藥；吸毒；給...服藥</t>
  </si>
  <si>
    <t>1. The doctor prescribed a new drug for her illness. 2. He was arrested for possession of illegal drugs. 3. The patient was drugged before the surgery.</t>
  </si>
  <si>
    <t>due</t>
  </si>
  <si>
    <t>adj. 到期的；應支付的；應得的 adv. 正向 n. 應得之物；應付款</t>
  </si>
  <si>
    <t>1. The payment is due next Monday. 2. She received the due respect for her hard work.</t>
  </si>
  <si>
    <t>dull</t>
  </si>
  <si>
    <t>adj. 單調的，無聊的；鈍的；遲鈍的 v. 使遲鈍</t>
  </si>
  <si>
    <t>1. The movie was so dull that I fell asleep. 2. This knife is too dull to cut the meat.</t>
  </si>
  <si>
    <t>earring(s)</t>
  </si>
  <si>
    <t>n. 耳環</t>
  </si>
  <si>
    <t>She is wearing gold earrings.</t>
  </si>
  <si>
    <t>eastern</t>
  </si>
  <si>
    <t>adj. 東方的</t>
  </si>
  <si>
    <t>The eastern part of the country is known for its beautiful landscapes.</t>
  </si>
  <si>
    <t>edition</t>
  </si>
  <si>
    <t>n. 發行數；版本</t>
  </si>
  <si>
    <t>This is the latest edition of the textbook.</t>
  </si>
  <si>
    <t>effect</t>
  </si>
  <si>
    <t>n. 結果；作用；影響 v. 造成；招致</t>
  </si>
  <si>
    <t>1. The medicine had a positive effect on her health. 2. The new law will effect significant changes in the industry.</t>
  </si>
  <si>
    <t>effective</t>
  </si>
  <si>
    <t>adj. 有效的；生效的；有影響力的</t>
  </si>
  <si>
    <t>1. The new medicine is very effective in treating headaches. 2. The policy will be effective starting next month.</t>
  </si>
  <si>
    <t>electrical</t>
  </si>
  <si>
    <t>adj. 電的</t>
  </si>
  <si>
    <t>The electrical system in the house needs to be repaired.</t>
  </si>
  <si>
    <t>employee</t>
  </si>
  <si>
    <t>n. 雇員</t>
  </si>
  <si>
    <t>The company has over 500 employees.</t>
  </si>
  <si>
    <t>employer</t>
  </si>
  <si>
    <t>n. 雇主</t>
  </si>
  <si>
    <t>The employer provides health insurance to all employees.</t>
  </si>
  <si>
    <t>employment</t>
  </si>
  <si>
    <t>n. 雇用；就業；工作</t>
  </si>
  <si>
    <t>He is looking for employment in the tech industry.</t>
  </si>
  <si>
    <t>empty</t>
  </si>
  <si>
    <t>adj. 空的；未佔用的；空虛的 v. 倒空；使變空</t>
  </si>
  <si>
    <t>1. The box is empty. 2. He felt empty after the argument. 3. Please empty the trash can.</t>
  </si>
  <si>
    <t>encourage</t>
  </si>
  <si>
    <t>v. 鼓勵</t>
  </si>
  <si>
    <t>My parents always encourage me to do my best</t>
  </si>
  <si>
    <t>encouragement</t>
  </si>
  <si>
    <t>n. 鼓勵</t>
  </si>
  <si>
    <t>Thank you for your encouragement.</t>
  </si>
  <si>
    <t>ending</t>
  </si>
  <si>
    <t>n. 結局</t>
  </si>
  <si>
    <t>The movie had a surprising ending.</t>
  </si>
  <si>
    <t>entire</t>
  </si>
  <si>
    <t>adj. 全部的，整個的</t>
  </si>
  <si>
    <t>He ate the entire cake by himself.</t>
  </si>
  <si>
    <t>environmental</t>
  </si>
  <si>
    <t>adj. 環境的</t>
  </si>
  <si>
    <t>We must take environmental problems seriously.</t>
  </si>
  <si>
    <t>escape</t>
  </si>
  <si>
    <t>n./v. 逃跑；逃脫</t>
  </si>
  <si>
    <t>1. The prisoner tried to escape from jail. 2. Their only escape was through the window.</t>
  </si>
  <si>
    <t>essay</t>
  </si>
  <si>
    <t>n. 文章；散文；論文</t>
  </si>
  <si>
    <t>I wrote an essay about my summer vacation.</t>
  </si>
  <si>
    <t>exact</t>
  </si>
  <si>
    <t>adj. 精確的 v. 強求，勒索</t>
  </si>
  <si>
    <t>1. I need the exact time of the meeting. 2. The kidnappers exacted a large ransom.</t>
  </si>
  <si>
    <t>examination/exam</t>
  </si>
  <si>
    <t>n. 考試</t>
  </si>
  <si>
    <t>The students are preparing for their final examination.</t>
  </si>
  <si>
    <t>examine</t>
  </si>
  <si>
    <t>v. 檢查；調查；考試</t>
  </si>
  <si>
    <t>1. The doctor examined the patient carefully. 2. We need to examine the evidence before making a decision. 3. The teacher will examine the students next week.</t>
  </si>
  <si>
    <t>excitement</t>
  </si>
  <si>
    <t>n. 興奮；激動；刺激</t>
  </si>
  <si>
    <t>1. The children showed great excitement on Christmas morning. 2. There was a lot of excitement before the big game.</t>
  </si>
  <si>
    <t>existence</t>
  </si>
  <si>
    <t>n. 存在</t>
  </si>
  <si>
    <t>The existence of life on other planets is still unknown.</t>
  </si>
  <si>
    <t>expense</t>
  </si>
  <si>
    <t>n. 費用；經費；代價</t>
  </si>
  <si>
    <t>The trip was cancelled because of the high expense.</t>
  </si>
  <si>
    <t>expert</t>
  </si>
  <si>
    <t>n. 專家 adj. 有經驗的；專業的</t>
  </si>
  <si>
    <t>1. She is an expert in computer science. 2. He gave an expert analysis of the situation.</t>
  </si>
  <si>
    <t>expression</t>
  </si>
  <si>
    <t>n. 表情；表示</t>
  </si>
  <si>
    <t>1. Her facial expression showed surprise. 2. This painting is an expression of the artist's feelings.</t>
  </si>
  <si>
    <t>eyebrow/brow</t>
  </si>
  <si>
    <t>n. 眉毛</t>
  </si>
  <si>
    <t>She raised her eyebrows in surprise.</t>
  </si>
  <si>
    <t>factor</t>
  </si>
  <si>
    <t>n. 因素；代理人；因數</t>
  </si>
  <si>
    <t>1. Weather is an important factor in deciding the event date. 2. In math, a factor is a number that divides another number evenly.</t>
  </si>
  <si>
    <t>failure</t>
  </si>
  <si>
    <t>n. 失敗</t>
  </si>
  <si>
    <t>Despite his failure, he never gave up.</t>
  </si>
  <si>
    <t>fashion</t>
  </si>
  <si>
    <t>n. 流行樣式；時尚 v. 製作；把...塑造成</t>
  </si>
  <si>
    <t>1. The dress was made in the fashion of the 1920s. 2. She loves keeping up with the latest fashion trends. 3. The artist fashioned a sculpture out of clay.</t>
  </si>
  <si>
    <t>fate</t>
  </si>
  <si>
    <t>n. 命運</t>
  </si>
  <si>
    <t>Some people believe that fate determines everything in life.</t>
  </si>
  <si>
    <t>favor</t>
  </si>
  <si>
    <t>n. 幫忙；贊成；偏袒 v. 支持；贊同；偏袒</t>
  </si>
  <si>
    <t>1. Can you do me a favor and help me with this? 2. She showed favor to the new employee. 3. The teacher favored students who participated actively.</t>
  </si>
  <si>
    <t>feature</t>
  </si>
  <si>
    <t>n. 特徵，特色 v. 以...為特色</t>
  </si>
  <si>
    <t>1. The smartphone has many useful features. 2. The festival features local artists and musicians.</t>
  </si>
  <si>
    <t>fellow</t>
  </si>
  <si>
    <t>n. 夥伴；學術會員</t>
  </si>
  <si>
    <t>He seems like a nice fellow.</t>
  </si>
  <si>
    <t>female</t>
  </si>
  <si>
    <t>adj. 女性的 n. 女性</t>
  </si>
  <si>
    <t>1. She was the first female president of the country. 2. The doctor is a female.</t>
  </si>
  <si>
    <t>field</t>
  </si>
  <si>
    <t>n. 田野，原野；領域；欄位</t>
  </si>
  <si>
    <t>1. The cows are grazing in the field. 2. She is an expert in the field of medicine.</t>
  </si>
  <si>
    <t>figure</t>
  </si>
  <si>
    <t>n. 體型，外型；人物(尤指知名人物)；數字；圖表 v. 估計；描繪</t>
  </si>
  <si>
    <t>1. She has a slim figure. 2. He is a well-known figure in the music industry. 3. Can you read this figure? 4. Look at figure 2 in the textbook. 5. I figure he’ll be late again.</t>
  </si>
  <si>
    <t>fireman/firewoman</t>
  </si>
  <si>
    <t>n. 消防員</t>
  </si>
  <si>
    <t>The fireman rescued the child from the burning house.</t>
  </si>
  <si>
    <t>firm</t>
  </si>
  <si>
    <t>n. 商行；公司 adj. 穩固的 v. 使牢固 adv. 牢固地</t>
  </si>
  <si>
    <t>1. He works for a law firm. 2. The ground was firm under our feet. 3. We need to firm up the plan before presenting it.</t>
  </si>
  <si>
    <t>flat</t>
  </si>
  <si>
    <t>adj. 平坦的 adv. 平坦地；仰臥地 n. 平坦部分</t>
  </si>
  <si>
    <t>1. The road is flat and easy to walk on.</t>
  </si>
  <si>
    <t>flow</t>
  </si>
  <si>
    <t>n./v. 流動</t>
  </si>
  <si>
    <t>1. The flow of water was very strong. 2. The river flows into the sea.</t>
  </si>
  <si>
    <t>folk</t>
  </si>
  <si>
    <t>n. 眾人；民謠 adj. 民間的；傳統的</t>
  </si>
  <si>
    <t>1. Some folks prefer the countryside to the city. 2. She enjoys listening to folk from Ireland. 3. He’s a collector of folk art.</t>
  </si>
  <si>
    <t>following</t>
  </si>
  <si>
    <t>adj. 接著的；下列的 prep. 在...以後 n. 追隨者；下列人事物</t>
  </si>
  <si>
    <t>1. Please read the following instructions carefully. 2. Following the meeting, we had lunch together. 3. The singer has a huge following on social media.</t>
  </si>
  <si>
    <t>force</t>
  </si>
  <si>
    <t>n. 力量 v. 強迫</t>
  </si>
  <si>
    <t>1. The force of the wind broke the window. 2. They forced him to apologize.</t>
  </si>
  <si>
    <t>forth</t>
  </si>
  <si>
    <t>adv. 向前</t>
  </si>
  <si>
    <t>She stepped forth to speak.</t>
  </si>
  <si>
    <t>forward/forwards</t>
  </si>
  <si>
    <t>adv. 向前；向將來 adj. 前方的；向前的；未來的；冒失的 v. 轉寄(郵件)</t>
  </si>
  <si>
    <t>1. Please move forward in the line 2. The forward part of the ship was damaged. 3. She is very forward in speaking her mind. 4. I will forward your email to the manager.</t>
  </si>
  <si>
    <t>found</t>
  </si>
  <si>
    <t>v. 創立</t>
  </si>
  <si>
    <t>They founded a new company last year</t>
  </si>
  <si>
    <t>fries</t>
  </si>
  <si>
    <t>n. 炸薯條</t>
  </si>
  <si>
    <t>I ordered a burger with fries.</t>
  </si>
  <si>
    <t>function</t>
  </si>
  <si>
    <t>n. 功能 v. 運轉；起作用</t>
  </si>
  <si>
    <t>1. The function of the heart is to pump blood. 2. The machine is functioning properly.</t>
  </si>
  <si>
    <t>further</t>
  </si>
  <si>
    <t>adv. 更進一步地；更遠地 adj. 更遠的；進一步的 v. 促進</t>
  </si>
  <si>
    <t>1. The investigation will continue further next week. 2. We need further information before making a decision. 3. She worked hard to further her career.</t>
  </si>
  <si>
    <t>gardener</t>
  </si>
  <si>
    <t>n. 園丁；花匠</t>
  </si>
  <si>
    <t>The gardener waters the flowers every morning.</t>
  </si>
  <si>
    <t>garlic</t>
  </si>
  <si>
    <t>n. 大蒜</t>
  </si>
  <si>
    <t>I like pasta with garlic and olive oil.</t>
  </si>
  <si>
    <t>giraffe</t>
  </si>
  <si>
    <t>n. 長頸鹿</t>
  </si>
  <si>
    <t>The giraffe has a very long neck.</t>
  </si>
  <si>
    <t>govern</t>
  </si>
  <si>
    <t>v. 統治；治理</t>
  </si>
  <si>
    <t>The country is governed by a democratically elected president.</t>
  </si>
  <si>
    <t>gradual</t>
  </si>
  <si>
    <t>adj. 逐漸的；平緩的</t>
  </si>
  <si>
    <t>There has been a gradual improvement in his health.</t>
  </si>
  <si>
    <t>grain</t>
  </si>
  <si>
    <t>n. 穀物</t>
  </si>
  <si>
    <t>1. The farmer harvested tons of grain this year.</t>
  </si>
  <si>
    <t>grand</t>
  </si>
  <si>
    <t>adj. 雄偉的；重大的；極好的</t>
  </si>
  <si>
    <t>1. They held a grand ceremony to celebrate the opening of the new museum. 2. She has grand dreams of becoming a famous actress. 3. That was a grand vacation!</t>
  </si>
  <si>
    <t>growth</t>
  </si>
  <si>
    <t>n. 生長；發育；成長</t>
  </si>
  <si>
    <t>1. A healthy diet is important for a child’s growth. 2. The company has seen rapid growth in recent years</t>
  </si>
  <si>
    <t>gymnasium/gym</t>
  </si>
  <si>
    <t>n. 體育館</t>
  </si>
  <si>
    <t>The students are playing basketball in the gymnasium.</t>
  </si>
  <si>
    <t>hamburger/burger</t>
  </si>
  <si>
    <t>n. 漢堡</t>
  </si>
  <si>
    <t>I ate a hamburger for lunch.</t>
  </si>
  <si>
    <t>heaven</t>
  </si>
  <si>
    <t>n. 天國；極樂之地，天堂；天空，天際</t>
  </si>
  <si>
    <t>1. She believes her grandmother is in heaven. 2. This beach is like heaven. 3. The heavens opened and it began to pour.</t>
  </si>
  <si>
    <t>hero/heroine</t>
  </si>
  <si>
    <t>n. 英雄；女英雄</t>
  </si>
  <si>
    <t>He is considered a hero for saving the child.</t>
  </si>
  <si>
    <t>highly</t>
  </si>
  <si>
    <t>adv. 非常；很；高地</t>
  </si>
  <si>
    <t>1. She is a highly intelligent woman. 2. This is a highly sensitive issue.</t>
  </si>
  <si>
    <t>hike</t>
  </si>
  <si>
    <t>n. 健行 v. 遠足；(價格等)上升</t>
  </si>
  <si>
    <t>1. We went for a 10-kilometer hike. 2. We hiked in the mountains last weekend. 3. The government plans to hike fuel prices.</t>
  </si>
  <si>
    <t>hippopotamus/hippo</t>
  </si>
  <si>
    <t>n. 河馬</t>
  </si>
  <si>
    <t>We saw a hippo at the zoo.</t>
  </si>
  <si>
    <t>historical</t>
  </si>
  <si>
    <t>adj. 歷史的</t>
  </si>
  <si>
    <t>This book is about historical events in ancient China.</t>
  </si>
  <si>
    <t>host/hostess</t>
  </si>
  <si>
    <t>n. 主人；主持人；主辦人 v. 主持；主辦</t>
  </si>
  <si>
    <t>1. He was a generous host at the party. 2. Taiwan will host the international conference next year.</t>
  </si>
  <si>
    <t>huge</t>
  </si>
  <si>
    <t>adj. 巨大的；龐大的</t>
  </si>
  <si>
    <t>1. They live in a huge house near the beach. 2. There was a huge crowd at the concert.</t>
  </si>
  <si>
    <t>ideal</t>
  </si>
  <si>
    <t>adj. 理想的 n. 理想；典範</t>
  </si>
  <si>
    <t>1. This is the ideal place for a vacation. 2. He strives to live up to his ideals.</t>
  </si>
  <si>
    <t>identity</t>
  </si>
  <si>
    <t>n. 身分；獨特性；認同感</t>
  </si>
  <si>
    <t>1. He showed his identity card to the officer. 2. Cultural identity is important to many people. 3. She struggles with her identity as an artist.</t>
  </si>
  <si>
    <t>image</t>
  </si>
  <si>
    <t>n. 影像；形象 v. 影像化，描繪；反映</t>
  </si>
  <si>
    <t>1. The image on the screen was very clear. 2. The company is trying to improve its public image. 3. The artist imaged the scene beautifully in his painting.</t>
  </si>
  <si>
    <t>impressive</t>
  </si>
  <si>
    <t>adj. 令人印象深刻的</t>
  </si>
  <si>
    <t>The singer gave an impressive performance last night.</t>
  </si>
  <si>
    <t>improvement</t>
  </si>
  <si>
    <t>n. 改善</t>
  </si>
  <si>
    <t>There has been a significant improvement in her health.</t>
  </si>
  <si>
    <t>indeed</t>
  </si>
  <si>
    <t>adv. 的確</t>
  </si>
  <si>
    <t>1. She is indeed very talented. 2. Indeed, it was the best day of my life.</t>
  </si>
  <si>
    <t>independence</t>
  </si>
  <si>
    <t>n. 獨立</t>
  </si>
  <si>
    <t>The country declared its independence in 1945.</t>
  </si>
  <si>
    <t>individual</t>
  </si>
  <si>
    <t>adj. 個人的，獨特的 n. 個人</t>
  </si>
  <si>
    <t>1. Each student has individual needs. 2. Every individual is responsible for their actions.</t>
  </si>
  <si>
    <t>industry</t>
  </si>
  <si>
    <t>n. 工業</t>
  </si>
  <si>
    <t>The technology industry is growing rapidly.</t>
  </si>
  <si>
    <t>instance</t>
  </si>
  <si>
    <t>n. 例子</t>
  </si>
  <si>
    <t>This is a good instance of teamwork.</t>
  </si>
  <si>
    <t>instead</t>
  </si>
  <si>
    <t>adv. 反而；代替</t>
  </si>
  <si>
    <t>1. I didn’t go to the party. Instead, I stayed home and read a book. 2. Use oil instead of butter in this recipe.</t>
  </si>
  <si>
    <t>instruction</t>
  </si>
  <si>
    <t>n. 教導；指示；使用說明，操作指南</t>
  </si>
  <si>
    <t>1. The teacher gave clear instructions to the students. 2. Please read the instructions carefully before using the machine. 3. The judge issued instructions to the jury.</t>
  </si>
  <si>
    <t>internal</t>
  </si>
  <si>
    <t>adj. 內部的；內在的；體內的</t>
  </si>
  <si>
    <t>1. The company is facing some internal problems. 2. She has an internal struggle about her decision. 3. He suffered internal injuries in the accident.</t>
  </si>
  <si>
    <t>internet</t>
  </si>
  <si>
    <t>n. 網際網路</t>
  </si>
  <si>
    <t>The internet helps us find information quickly.</t>
  </si>
  <si>
    <t>introduction</t>
  </si>
  <si>
    <t>n. 介紹；引言；引進；入門</t>
  </si>
  <si>
    <t>1. et me give you an introduction to our new team member. 2. The introduction of the book explains the main topics. 3. The introduction of new technology improved productivity. 4. This is an introduction to programming course.</t>
  </si>
  <si>
    <t>jog</t>
  </si>
  <si>
    <t>v. 慢跑；輕撞 n. 輕推；慢跑</t>
  </si>
  <si>
    <t>1. I jog every morning to keep fit. 2. She jogged my memory about the meeting. 3. Going for a jog in the park is relaxing.</t>
  </si>
  <si>
    <t>joint</t>
  </si>
  <si>
    <t>adj. 共同的；聯合的；連接的 n. 關節；接合處</t>
  </si>
  <si>
    <t>1. They made a joint decision to start a business. 2. My knee joint hurts after running.</t>
  </si>
  <si>
    <t>journal</t>
  </si>
  <si>
    <t>n. 雜誌；期刊</t>
  </si>
  <si>
    <t>The research was published in a scientific journal.</t>
  </si>
  <si>
    <t>judgement/judgment</t>
  </si>
  <si>
    <t>n. 判斷，判斷力；判決；看法</t>
  </si>
  <si>
    <t>1. She showed good judgment in handling the problem. 2. The court’s judgment was in favor of the defendant. 3. In my judgment, this is the best option.</t>
  </si>
  <si>
    <t>justice</t>
  </si>
  <si>
    <t>n. 公平；正義；司法；審判</t>
  </si>
  <si>
    <t>1. Everyone deserves justice regardless of their background. 2. The justice system is designed to protect citizens’ rights. 3. The judge delivered justice in the courtroom.</t>
  </si>
  <si>
    <t>keeper</t>
  </si>
  <si>
    <t>n. 管理者；看守人</t>
  </si>
  <si>
    <t>1. The zoo keeper takes care of the animals. 2. He is the keeper of the old manuscripts.</t>
  </si>
  <si>
    <t>ladybug</t>
  </si>
  <si>
    <t>n. 瓢蟲</t>
  </si>
  <si>
    <t>Children like to catch ladybugs in the garden.</t>
  </si>
  <si>
    <t>lane</t>
  </si>
  <si>
    <t>n. 車道；小路，巷弄</t>
  </si>
  <si>
    <t>1. Stay in your lane while driving. 2. They live in a quiet lane behind the main street.</t>
  </si>
  <si>
    <t>lap</t>
  </si>
  <si>
    <t>n. 大腿部（坐著時大腿上方平坦部分）；（賽跑、游泳等的）一圈 v. 舔；（水等）輕拍，輕輕拍打；（比賽中）超過（對手）</t>
  </si>
  <si>
    <t>1. She placed the baby on her lap. 2. He completed the first lap of the race quickly. 3. The dog lapped the water from the bowl. 4. The waves lapped against the shore gently. 5. The runner lapped his opponent twice before the finish.</t>
  </si>
  <si>
    <t>leadership</t>
  </si>
  <si>
    <t>n. 指揮；統率力，領導能力；領導階級</t>
  </si>
  <si>
    <t>1. Good leadership is essential for a successful team. 2. She took on a leadership role in the company.</t>
  </si>
  <si>
    <t>legal</t>
  </si>
  <si>
    <t>adj. 法律上的；合法的</t>
  </si>
  <si>
    <t>1. They are seeking legal advice from a lawyer. 2. Smoking is legal only in designated areas.</t>
  </si>
  <si>
    <t>length</t>
  </si>
  <si>
    <t>n. 長度；期間</t>
  </si>
  <si>
    <t>1. The length of the table is two meters. 2. The movie’s length is about two hours.</t>
  </si>
  <si>
    <t>lens</t>
  </si>
  <si>
    <t>n. 鏡片；透鏡</t>
  </si>
  <si>
    <t>I need to clean the camera lens before taking pictures.</t>
  </si>
  <si>
    <t>liberal</t>
  </si>
  <si>
    <t>adj. 開明的，開放的，心胸寬闊的 n. 自由主義者</t>
  </si>
  <si>
    <t>1. She has a liberal attitude towards education. 2. The government adopted liberal policies to encourage growth. 3. He is very liberal with his time and money. 4. Many liberals advocate for social justice.</t>
  </si>
  <si>
    <t>listener</t>
  </si>
  <si>
    <t>n. 聽眾</t>
  </si>
  <si>
    <t>A good listener makes people feel comfortable.</t>
  </si>
  <si>
    <t>liver</t>
  </si>
  <si>
    <t>n. 肝臟；居住者</t>
  </si>
  <si>
    <t>The liver helps to detoxify the blood.</t>
  </si>
  <si>
    <t>load</t>
  </si>
  <si>
    <t>n. 裝載；負擔 v. 裝載</t>
  </si>
  <si>
    <t>1. The truck carried a heavy load of bricks. 2. I have a lot of work load this week. 3. They loaded the boxes onto the truck.</t>
  </si>
  <si>
    <t>lone</t>
  </si>
  <si>
    <t>adj. 孤單的</t>
  </si>
  <si>
    <t>She made a lone decision to travel abroad.</t>
  </si>
  <si>
    <t>loss</t>
  </si>
  <si>
    <t>n. 喪失；遺失；損失</t>
  </si>
  <si>
    <t>1. He is still grieving the loss of his father. 2. The company suffered a loss of profits last year.</t>
  </si>
  <si>
    <t>lower</t>
  </si>
  <si>
    <t>adj. 較低的，下面的 v. 放下；放低；減低 n.較低的部分</t>
  </si>
  <si>
    <t>1. The lower shelf is for books. 2. Please lower your voice. 3. The company decided to lower prices to attract customers. 4. The lower of the two drawers is stuck.</t>
  </si>
  <si>
    <t>luck</t>
  </si>
  <si>
    <t>n. 運氣；幸運</t>
  </si>
  <si>
    <t>1. Sometimes luck plays a big role in success. 2. He had the luck to find a job quickly.</t>
  </si>
  <si>
    <t>maintain</t>
  </si>
  <si>
    <t>v. 保持；保養；主張，堅持</t>
  </si>
  <si>
    <t>1. It’s important to maintain a healthy lifestyle. 2. The company maintains its equipment regularly. 3. She maintains that she was not at the scene.</t>
  </si>
  <si>
    <t>management</t>
  </si>
  <si>
    <t>n. 管理；管理階層；處理</t>
  </si>
  <si>
    <t>1. Good management is key to a successful business. 2. The management decided to increase salaries. 3. Time management is important for students.</t>
  </si>
  <si>
    <t>marriage</t>
  </si>
  <si>
    <t>n. 結婚</t>
  </si>
  <si>
    <t>Their marriage lasted for 20 years.</t>
  </si>
  <si>
    <t>mate</t>
  </si>
  <si>
    <t>n. 同伴，伴侶 v. 交配；配對</t>
  </si>
  <si>
    <t>1. He’s my best mate since childhood. 2. The bird found its mate during the spring. 3. The animals mate in the spring.</t>
  </si>
  <si>
    <t>material</t>
  </si>
  <si>
    <t>n. 材料 adj. 實質的；重要的</t>
  </si>
  <si>
    <t>1. The dress is made of high-quality material. 2. The material evidence was crucial to the case.</t>
  </si>
  <si>
    <t>mature</t>
  </si>
  <si>
    <t>adj. 成熟的 v. 成熟，長大；（保險、債券）到期</t>
  </si>
  <si>
    <t>1. She is very mature for her age. 2. These fruits take a few days to mature. 3. The investment will mature in five years.</t>
  </si>
  <si>
    <t>means</t>
  </si>
  <si>
    <t>n. 手段；方法</t>
  </si>
  <si>
    <t>1. Education is a means to success. 2. We must find a means of communication.</t>
  </si>
  <si>
    <t>measurement</t>
  </si>
  <si>
    <t>n. 測量；測量值，尺寸</t>
  </si>
  <si>
    <t>1. Accurate measurement is essential in science. 2. Her waist measurement is 65 centimeters. 3. Take the room’s measurements before buying furniture.</t>
  </si>
  <si>
    <t>medical</t>
  </si>
  <si>
    <t>adj. 醫學的，醫療的，醫用的</t>
  </si>
  <si>
    <t>She needs medical attention right away.</t>
  </si>
  <si>
    <t>melody</t>
  </si>
  <si>
    <t>n. 旋律</t>
  </si>
  <si>
    <t>This song has a beautiful melody.</t>
  </si>
  <si>
    <t>membership</t>
  </si>
  <si>
    <t>n. 會員資格</t>
  </si>
  <si>
    <t>She applied for membership in the gym.</t>
  </si>
  <si>
    <t>mention</t>
  </si>
  <si>
    <t>v. 提及；說起 n. 提及；說起</t>
  </si>
  <si>
    <t>1. He didn’t mention anything about the party 2. Her name got a special mention in the speech.</t>
  </si>
  <si>
    <t>military</t>
  </si>
  <si>
    <t>adj. 軍隊的 n. 軍隊</t>
  </si>
  <si>
    <t>1. They took military action against the rebels. 2. The military is preparing for a possible attack.</t>
  </si>
  <si>
    <t>minority</t>
  </si>
  <si>
    <t>n. 少數</t>
  </si>
  <si>
    <t>The minority of students preferred online classes over in-person ones.</t>
  </si>
  <si>
    <t>mixture</t>
  </si>
  <si>
    <t>n. 混合物</t>
  </si>
  <si>
    <t>The cake batter is a mixture of flour, eggs, and sugar.</t>
  </si>
  <si>
    <t>mood</t>
  </si>
  <si>
    <t>n. 情緒；心境</t>
  </si>
  <si>
    <t>She’s in a good mood today because she got the job.</t>
  </si>
  <si>
    <t>mug</t>
  </si>
  <si>
    <t>n. 杯子</t>
  </si>
  <si>
    <t>She bought a cute mug with a cat on it.</t>
  </si>
  <si>
    <t>musical</t>
  </si>
  <si>
    <t>adj. 音樂的 n. 歌舞劇；音樂片</t>
  </si>
  <si>
    <t>1. She has a very musical voice. 2. We went to see a famous musical last night.</t>
  </si>
  <si>
    <t>nearby</t>
  </si>
  <si>
    <t>adj. 附近的 adv. 在附近</t>
  </si>
  <si>
    <t>1. There is a nearby supermarket where we can buy groceries. 2. She lives nearby, so we often meet for coffee.</t>
  </si>
  <si>
    <t>nerve</t>
  </si>
  <si>
    <t>n. 神經；勇氣，膽量</t>
  </si>
  <si>
    <t>1. The doctor explained how the nerves transmit signals to the brain. 2. It took a lot of nerve for him to speak up in the meeting.</t>
  </si>
  <si>
    <t>network</t>
  </si>
  <si>
    <t>n. 網狀系統；電腦網路 v. 建立人脈；用網覆蓋</t>
  </si>
  <si>
    <t>1. The internet is a global network connecting millions of computers. 2. She attends conferences regularly to network with professionals in her field.</t>
  </si>
  <si>
    <t>northern</t>
  </si>
  <si>
    <t>adj. 北方的</t>
  </si>
  <si>
    <t>They traveled through the northern part of the country.</t>
  </si>
  <si>
    <t>obvious</t>
  </si>
  <si>
    <t>adj. 明顯的</t>
  </si>
  <si>
    <t>It’s obvious that she’s upset about something.</t>
  </si>
  <si>
    <t>occur</t>
  </si>
  <si>
    <t>v. 發生，出現；(想法)浮現</t>
  </si>
  <si>
    <t>1. The accident occurred late last night. 2. It didn’t occur to me that she might be lying.</t>
  </si>
  <si>
    <t>official</t>
  </si>
  <si>
    <t>adj. 官方的；正式的 n. 官員；公務員</t>
  </si>
  <si>
    <t>1. The official statement was released this morning. 2. A government official visited the disaster area yesterday.</t>
  </si>
  <si>
    <t>operate</t>
  </si>
  <si>
    <t>v. 營運；操作</t>
  </si>
  <si>
    <t>1. The company operates in over 20 countries. 2. He knows how to operate heavy machinery.</t>
  </si>
  <si>
    <t>operator</t>
  </si>
  <si>
    <t>n. 操作者；接線生；經營者</t>
  </si>
  <si>
    <t>1. The machine stopped working because the operator made a mistake. 2. She worked as a telephone operator in the 1980s. 3. The tour operator arranged everything for our trip.</t>
  </si>
  <si>
    <t>organ</t>
  </si>
  <si>
    <t>n. 器官；機構；風琴</t>
  </si>
  <si>
    <t>1. The heart is a vital organ in the human body. 2. She plays the organ at church every Sunday. 3. The newspaper is considered the official organ of the party.</t>
  </si>
  <si>
    <t>organization</t>
  </si>
  <si>
    <t>n. 組織，團體；安排，籌劃</t>
  </si>
  <si>
    <t>1. He works for an international organization that helps refugees. 2. The success of the event was due to excellent organization.</t>
  </si>
  <si>
    <t>origin</t>
  </si>
  <si>
    <t>n. 起源，由來；出身</t>
  </si>
  <si>
    <t>1. The origin of the custom is unclear. 2. She is a writer of French origin.</t>
  </si>
  <si>
    <t>painting</t>
  </si>
  <si>
    <t>n. 圖畫</t>
  </si>
  <si>
    <t>That painting was created by a famous Italian artist.</t>
  </si>
  <si>
    <t>participate</t>
  </si>
  <si>
    <t>v. 參與</t>
  </si>
  <si>
    <t>Many students participated in the school sports day.</t>
  </si>
  <si>
    <t>particular</t>
  </si>
  <si>
    <t>adj. 獨特的，特別的；挑剔的 n. 細節；事項</t>
  </si>
  <si>
    <t>1. I’m looking for a particular book about history. 2. He’s very particular about his food. 3. Can you give me more particulars about the event?</t>
  </si>
  <si>
    <t>password</t>
  </si>
  <si>
    <t>n. 密碼</t>
  </si>
  <si>
    <t>Please enter your password to log in.</t>
  </si>
  <si>
    <t>peak</t>
  </si>
  <si>
    <t>n. 山頂，頂峰；最高點 v. 達到高峰；聳起</t>
  </si>
  <si>
    <t>1. We reached the peak of the mountain after five hours of hiking. 2. Sales peaked last December during the holiday season. 3. The athlete is in peak condition for the competition.</t>
  </si>
  <si>
    <t>per</t>
  </si>
  <si>
    <t>prep. 每，每一；經過，透過</t>
  </si>
  <si>
    <t>The speed limit is 60 miles per hour.</t>
  </si>
  <si>
    <t>personality</t>
  </si>
  <si>
    <t>n. 個性，性格；人格</t>
  </si>
  <si>
    <t>1. She has a cheerful personality that makes everyone like her. 2. Your personality plays a big role in how you interact with others.</t>
  </si>
  <si>
    <t>phrase</t>
  </si>
  <si>
    <t>n. 片語 v. 用言語表達；用詞</t>
  </si>
  <si>
    <t>1. “Break a leg” is a common phrase used to wish someone good luck. 2. The speaker carefully phrased his argument to avoid offending anyone.</t>
  </si>
  <si>
    <t>poet</t>
  </si>
  <si>
    <t>n. 詩人</t>
  </si>
  <si>
    <t>Shakespeare is one of the most famous poets.</t>
  </si>
  <si>
    <t>poetry</t>
  </si>
  <si>
    <t>n. 詩</t>
  </si>
  <si>
    <t>She enjoys reading poetry in her free time.</t>
  </si>
  <si>
    <t>policeman/cop</t>
  </si>
  <si>
    <t>n. 警察</t>
  </si>
  <si>
    <t>The policeman helped the lost child.</t>
  </si>
  <si>
    <t>policy</t>
  </si>
  <si>
    <t>n. 政策，方針</t>
  </si>
  <si>
    <t>The company has a strict policy on internet usage.</t>
  </si>
  <si>
    <t>pose</t>
  </si>
  <si>
    <t>v. 擺姿勢；提出 n. 姿勢</t>
  </si>
  <si>
    <t>1. The model posed for the photographer in front of the sunset. 2. The new law poses a challenge to small businesses. 3. She held a graceful pose during the dance performance.</t>
  </si>
  <si>
    <t>possibility</t>
  </si>
  <si>
    <t>n. 可能性，機會</t>
  </si>
  <si>
    <t>There is a possibility of rain tomorrow.</t>
  </si>
  <si>
    <t>post</t>
  </si>
  <si>
    <t>n. 崗位，職位；郵局 v. 郵寄；貼出，發布；分發 adv. 後面</t>
  </si>
  <si>
    <t>1. He was assigned to a new post in the marketing department. 2. She sent the letter by post yesterday. 3. They posted the job advertisement online.</t>
  </si>
  <si>
    <t>powerful</t>
  </si>
  <si>
    <t>adj. 強健的；強而有力的；有影響力的</t>
  </si>
  <si>
    <t>1. The president is one of the most powerful people in the country. 2. She gave a powerful speech that inspired everyone.</t>
  </si>
  <si>
    <t>prayer</t>
  </si>
  <si>
    <t>n. 祈禱，禱告</t>
  </si>
  <si>
    <t>She said a prayer for her family’s health and happiness.</t>
  </si>
  <si>
    <t>prefer</t>
  </si>
  <si>
    <t>v. 較喜歡，偏好，寧願選擇</t>
  </si>
  <si>
    <t>I prefer tea to coffee in the morning.</t>
  </si>
  <si>
    <t>press</t>
  </si>
  <si>
    <t>v. 壓；催促，逼迫 n. 報刊；新聞界</t>
  </si>
  <si>
    <t>1. Please press the button to start the machine. 2. The manager pressed him to finish the report by Friday. 3. The reporter works for the local press.</t>
  </si>
  <si>
    <t>pride</t>
  </si>
  <si>
    <t>n. 自豪，得意 v. 以...為榮</t>
  </si>
  <si>
    <t>1. She takes great pride in her work. 2. He prides himself on being punctual.</t>
  </si>
  <si>
    <t>prince/princess</t>
  </si>
  <si>
    <t>n. 王子/公主</t>
  </si>
  <si>
    <t>The prince lives in a large castle.</t>
  </si>
  <si>
    <t>prison</t>
  </si>
  <si>
    <t>n. 監獄</t>
  </si>
  <si>
    <t>He was sent to prison for five years.</t>
  </si>
  <si>
    <t>prisoner</t>
  </si>
  <si>
    <t>n. 囚犯</t>
  </si>
  <si>
    <t>The prisoner was released after serving ten years.</t>
  </si>
  <si>
    <t>proper</t>
  </si>
  <si>
    <t>adj. 適合的；正確的</t>
  </si>
  <si>
    <t>1. Please wear proper clothes to the interview. 2. It’s important to use proper grammar when writing.</t>
  </si>
  <si>
    <t>propose</t>
  </si>
  <si>
    <t>v. 提議，建議；求婚</t>
  </si>
  <si>
    <t>1. He proposed a new plan to improve the company’s sales. 2. He nervously proposed to his girlfriend last night.</t>
  </si>
  <si>
    <t>protective</t>
  </si>
  <si>
    <t>adj. 保護的</t>
  </si>
  <si>
    <t>Parents often have a protective attitude toward their children.</t>
  </si>
  <si>
    <t>prove</t>
  </si>
  <si>
    <t>v. 證明</t>
  </si>
  <si>
    <t>The scientist proved his theory with multiple experiments.</t>
  </si>
  <si>
    <t>pudding</t>
  </si>
  <si>
    <t>n. 布丁</t>
  </si>
  <si>
    <t>I had chocolate pudding for dessert.</t>
  </si>
  <si>
    <t>punishment</t>
  </si>
  <si>
    <t>n. 處罰</t>
  </si>
  <si>
    <t>The teacher gave him a punishment for being late.</t>
  </si>
  <si>
    <t>pupil</t>
  </si>
  <si>
    <t>n. 小學生</t>
  </si>
  <si>
    <t>1. The teacher praised the pupils for their hard work.</t>
  </si>
  <si>
    <t>quality</t>
  </si>
  <si>
    <t>n. 品質 agj. 優質的</t>
  </si>
  <si>
    <t>1. The quality of this fabric is excellent. 2. They sell quality products at reasonable prices.</t>
  </si>
  <si>
    <t>quantity</t>
  </si>
  <si>
    <t>n. 數量</t>
  </si>
  <si>
    <t>The factory produces large quantities of shoes every month.</t>
  </si>
  <si>
    <t>railroad/railway</t>
  </si>
  <si>
    <t>n. 鐵路</t>
  </si>
  <si>
    <t>The railroad connects the city to the countryside.</t>
  </si>
  <si>
    <t>range</t>
  </si>
  <si>
    <t>n. 種類；分布區 v. 排列；變動</t>
  </si>
  <si>
    <t>1. The price range for these products is quite wide. 2. The mountains form a beautiful range along the coast. 3. The temperature can range from 10 to 30 degrees Celsius.</t>
  </si>
  <si>
    <t>rapid</t>
  </si>
  <si>
    <t>adj. 快的</t>
  </si>
  <si>
    <t>The river’s rapid flow made it dangerous to swim.</t>
  </si>
  <si>
    <t>reality</t>
  </si>
  <si>
    <t>n. 真實性</t>
  </si>
  <si>
    <t>Sometimes reality is different from what we expect.</t>
  </si>
  <si>
    <t>recent</t>
  </si>
  <si>
    <t>adj. 最近的</t>
  </si>
  <si>
    <t>The recent news about the project was very encouraging.</t>
  </si>
  <si>
    <t>refrigerator/fridge</t>
  </si>
  <si>
    <t>n. 冰箱</t>
  </si>
  <si>
    <t>Please store the food in the refrigerator.</t>
  </si>
  <si>
    <t>regard</t>
  </si>
  <si>
    <t>n. 注重，關心 v.認為，看待；關心，注重</t>
  </si>
  <si>
    <t>1. She has a lot of regard for her teachers. 2. Many people regard her as a talented artist. 3. He regards his health as very important.</t>
  </si>
  <si>
    <t>region</t>
  </si>
  <si>
    <t>n. 地區</t>
  </si>
  <si>
    <t>This region is known for its beautiful landscapes.</t>
  </si>
  <si>
    <t>relate</t>
  </si>
  <si>
    <t>v. 敘述；有關</t>
  </si>
  <si>
    <t>1. She related the events of the accident to the police. 2. This story relates to the history of the city.</t>
  </si>
  <si>
    <t>relation</t>
  </si>
  <si>
    <t>n. 關係</t>
  </si>
  <si>
    <t>The relation between the two countries has improved recently.</t>
  </si>
  <si>
    <t>religion</t>
  </si>
  <si>
    <t>n. 宗教信仰；宗教</t>
  </si>
  <si>
    <t>1. Freedom of religion is a basic human right. 2. Buddhism is one of the major religions in Asia.</t>
  </si>
  <si>
    <t>remove</t>
  </si>
  <si>
    <t>v. 去除，移除</t>
  </si>
  <si>
    <t>1. Please remove your shoes before entering the house. 2. The stain was hard to remove from the fabric.</t>
  </si>
  <si>
    <t>reply</t>
  </si>
  <si>
    <t>n./v. 答覆，回覆</t>
  </si>
  <si>
    <t>1. His reply to the question was very clear. 2. She didn’t reply to my message.</t>
  </si>
  <si>
    <t>require</t>
  </si>
  <si>
    <t>v. 需求；要求</t>
  </si>
  <si>
    <t>1. This job requires a lot of patience and attention to detail. 2. The school requires students to wear uniforms.</t>
  </si>
  <si>
    <t>requirement</t>
  </si>
  <si>
    <t>n. 需求；必要條件；規定</t>
  </si>
  <si>
    <t>1. Good communication skills are a requirement for this position. 2. The project meets all the safety requirements.</t>
  </si>
  <si>
    <t>respond</t>
  </si>
  <si>
    <t>v. 回答，回應；做出反應</t>
  </si>
  <si>
    <t>1. She didn’t respond to my email until two days later. 2. The company quickly responded to customer complaints.</t>
  </si>
  <si>
    <t>riches</t>
  </si>
  <si>
    <t>n. 財富，財產；豐富的資源</t>
  </si>
  <si>
    <t>1. He left his homeland in search of fame and riches. 2. The country is known for the natural riches of its forests and rivers.</t>
  </si>
  <si>
    <t>rocky</t>
  </si>
  <si>
    <t>adj. 多岩石的；不穩定的，搖晃的</t>
  </si>
  <si>
    <t>1. We hiked along a rocky path by the sea. 2. Their relationship had a rocky start but improved over time.</t>
  </si>
  <si>
    <t>rooster</t>
  </si>
  <si>
    <t>n. 公雞</t>
  </si>
  <si>
    <t>The rooster crowed at sunrise.</t>
  </si>
  <si>
    <t>royal</t>
  </si>
  <si>
    <t>adj. 王室的；皇家的 n. 王室成員</t>
  </si>
  <si>
    <t>1. The royal family attended the ceremony. 2. She received a royal welcome when she arrived.</t>
  </si>
  <si>
    <t>rubber</t>
  </si>
  <si>
    <t>n. 橡膠；橡皮擦(英式用法) adj. 橡膠製的</t>
  </si>
  <si>
    <t>1. The tires are made of strong rubber. 2. In the UK, “rubber” means an eraser used for pencils. 3. She wore rubber boots to walk in the rain.</t>
  </si>
  <si>
    <t>runner</t>
  </si>
  <si>
    <t>n. 跑者</t>
  </si>
  <si>
    <t>He is a professional runner who competes internationally.</t>
  </si>
  <si>
    <t>salesperson/salesman</t>
  </si>
  <si>
    <t>n. 銷售人員</t>
  </si>
  <si>
    <t>The salesperson helped me choose the right laptop.</t>
  </si>
  <si>
    <t>saleswoman</t>
  </si>
  <si>
    <t>n. 女店員</t>
  </si>
  <si>
    <t>The saleswoman helped me choose the right laptop.</t>
  </si>
  <si>
    <t>salty</t>
  </si>
  <si>
    <t>adj. 有鹽分的；鹹的</t>
  </si>
  <si>
    <t>1. The ocean air tastes salty. 2. The soup is too salty; it needs more water.</t>
  </si>
  <si>
    <t>saw</t>
  </si>
  <si>
    <t>v. 鋸；鋸開 n. 鋸子</t>
  </si>
  <si>
    <t>He used a saw to cut the wooden board.</t>
  </si>
  <si>
    <t>scare</t>
  </si>
  <si>
    <t>v. 使害怕；恐嚇 n. 驚恐，恐慌；驚嚇</t>
  </si>
  <si>
    <t>1. The loud noise scared the children. 2. There was a scare about a possible power outage last night.</t>
  </si>
  <si>
    <t>schedule</t>
  </si>
  <si>
    <t>n. 時間表；課程表 v. 安排；列入計畫</t>
  </si>
  <si>
    <t>1. My schedule is very busy this week. 2. We scheduled the meeting for next Monday.</t>
  </si>
  <si>
    <t>seek</t>
  </si>
  <si>
    <t>v. 追求；尋覓，尋找；尋求</t>
  </si>
  <si>
    <t>1. Many people seek happiness in their lives. 2. She is seeking advice from her mentor.</t>
  </si>
  <si>
    <t>selection</t>
  </si>
  <si>
    <t>n. 選擇</t>
  </si>
  <si>
    <t>The store offers a wide selection of books.</t>
  </si>
  <si>
    <t>self</t>
  </si>
  <si>
    <t>n. 自己 adj. 自己的，自我的</t>
  </si>
  <si>
    <t>1. It’s important to take care of yourself. 2. She has a strong sense of self.</t>
  </si>
  <si>
    <t>sensitive</t>
  </si>
  <si>
    <t>adj. 敏感的；易受影響的；體貼的</t>
  </si>
  <si>
    <t>1. He is very sensitive to criticism. 2. This skin cream is for people with sensitive skin. 3. She is sensitive to other people's feelings.</t>
  </si>
  <si>
    <t>separate</t>
  </si>
  <si>
    <t>adj. 分開的；個別的，獨立的 v. 區分；使分離</t>
  </si>
  <si>
    <t>1. They have separate bedrooms in the house. 2. Please separate the recyclable materials from the trash.</t>
  </si>
  <si>
    <t>settle</t>
  </si>
  <si>
    <t>v. 安頓；決定，解決</t>
  </si>
  <si>
    <t>1. After traveling for years, she decided to settle in a small town. 2. They settled their differences through negotiation.</t>
  </si>
  <si>
    <t>settlement</t>
  </si>
  <si>
    <t>n. 解決，和解；殖民地，定居點；結帳</t>
  </si>
  <si>
    <t>1. The two parties reached a settlement out of court. 2. The early settlers established a settlement by the river.</t>
  </si>
  <si>
    <t>sex</t>
  </si>
  <si>
    <t>n. 性別；性</t>
  </si>
  <si>
    <t>1. Please indicate your sex on the form male or female. 2. Sex education is important for teenagers.</t>
  </si>
  <si>
    <t>shame</t>
  </si>
  <si>
    <t>n. 羞恥；恥辱；可惜 v. 使感到羞恥</t>
  </si>
  <si>
    <t>1. He felt deep shame after lying to his friends. 2. It’s a shame that we couldn’t attend the concert. 3. She tried to shame him into apologizing.</t>
  </si>
  <si>
    <t>shell</t>
  </si>
  <si>
    <t>n. 殼，外殼；砲彈 v. 剝殼；砲擊</t>
  </si>
  <si>
    <t>1. The crab has a hard shell for protection. 2. Soldiers found an unexploded shell on the battlefield. 3. She shelled the peanuts before eating them.</t>
  </si>
  <si>
    <t>shock</t>
  </si>
  <si>
    <t>n./v. 衝擊；震驚</t>
  </si>
  <si>
    <t>1. The earthquake caused a strong shock that damaged many buildings. 2. The news of his sudden death came as a shock to everyone. 3. The bad news shocked her deeply.</t>
  </si>
  <si>
    <t>shot</t>
  </si>
  <si>
    <t>n. 射擊；開槍；投籃</t>
  </si>
  <si>
    <t>1. She shot the arrow straight into the target. 2. The hunter fired a single shot. 3. He made a three-point shot at the last second.</t>
  </si>
  <si>
    <t>simply</t>
  </si>
  <si>
    <t>adv. 簡單地；完全；僅僅，只不過</t>
  </si>
  <si>
    <t>1. You can solve the problem simply by following the instructions. 2. I simply don’t understand what you mean.</t>
  </si>
  <si>
    <t>skilled</t>
  </si>
  <si>
    <t>adj. 熟練的；有技能的</t>
  </si>
  <si>
    <t>1. She is a skilled carpenter who can make beautiful furniture. 2. The job requires skilled workers with experience.</t>
  </si>
  <si>
    <t>slip</t>
  </si>
  <si>
    <t>n./v. 滑倒；滑行</t>
  </si>
  <si>
    <t>1. Be careful not to slip on the wet floor.</t>
  </si>
  <si>
    <t>slipper(s)</t>
  </si>
  <si>
    <t>n. 拖鞋</t>
  </si>
  <si>
    <t>She put on her slippers after coming home from work.</t>
  </si>
  <si>
    <t>smooth</t>
  </si>
  <si>
    <t>adj. 光滑的，平滑的；順利的 v. 使光滑；使平整</t>
  </si>
  <si>
    <t>1. The table has a smooth surface. 2. The meeting went smoothly without any problems. 3. She smoothed the wrinkles out of the paper.</t>
  </si>
  <si>
    <t>sock(s)</t>
  </si>
  <si>
    <t>n. 短襪</t>
  </si>
  <si>
    <t>He bought new socks for the winter.</t>
  </si>
  <si>
    <t>soft</t>
  </si>
  <si>
    <t>adj. 柔軟的</t>
  </si>
  <si>
    <t>This pillow is very soft and comfortable.</t>
  </si>
  <si>
    <t>soil</t>
  </si>
  <si>
    <t>n. 土壤 v. 弄髒；玷汙</t>
  </si>
  <si>
    <t>1. Plants grow best in rich, moist soil. 2. Be careful not to soil your clothes while painting.</t>
  </si>
  <si>
    <t>solution</t>
  </si>
  <si>
    <t>n. 解答；解決方法；溶液</t>
  </si>
  <si>
    <t>1. She finally found the correct solution to the math question. 2. We need a solution to this problem as soon as possible. 3. Saltwater is a solution of salt in water.</t>
  </si>
  <si>
    <t>somewhat</t>
  </si>
  <si>
    <t>adv. 有點，稍微，多少有些</t>
  </si>
  <si>
    <t>I was somewhat surprised by his reaction.</t>
  </si>
  <si>
    <t>sort</t>
  </si>
  <si>
    <t>n. 種類 v. 分類</t>
  </si>
  <si>
    <t>1. There are all sorts of people at the party. 2. I need to sort these papers before the meeting.</t>
  </si>
  <si>
    <t>source</t>
  </si>
  <si>
    <t>n. 來源</t>
  </si>
  <si>
    <t>The source of the river is high in the mountains.</t>
  </si>
  <si>
    <t>southern</t>
  </si>
  <si>
    <t>adj. 南方的</t>
  </si>
  <si>
    <t>He lives in the southern part of the country.</t>
  </si>
  <si>
    <t>soybean</t>
  </si>
  <si>
    <t>n. 大豆</t>
  </si>
  <si>
    <t>Soybeans are an important source of protein.</t>
  </si>
  <si>
    <t>spelling</t>
  </si>
  <si>
    <t>n. 拼字；拼寫</t>
  </si>
  <si>
    <t>Her spelling is excellent.</t>
  </si>
  <si>
    <t>sport</t>
  </si>
  <si>
    <t>n. 運動 v. 炫耀；遊戲</t>
  </si>
  <si>
    <t>Soccer is a popular sport around the world.</t>
  </si>
  <si>
    <t>stage</t>
  </si>
  <si>
    <t>n. 階段；舞台 v. 上演；策劃</t>
  </si>
  <si>
    <t>1. The project is in its final stage. 2. He performed on stage for the first time. 3. The theater group staged a new play last week. 4. The protest was staged by students.</t>
  </si>
  <si>
    <t>standard</t>
  </si>
  <si>
    <t>adj. 標準的 n. 標準</t>
  </si>
  <si>
    <t>1. He drives a standard car, not a luxury one. 2. The company maintains high standards of quality.</t>
  </si>
  <si>
    <t>statement</t>
  </si>
  <si>
    <t>n. 陳述，聲明；對帳單</t>
  </si>
  <si>
    <t>1. The politician made a public statement about the issue. 2. I checked my bank statement online yesterday.</t>
  </si>
  <si>
    <t>steel</t>
  </si>
  <si>
    <t>n. 鋼鐵 v. 鋼化；使堅強，鼓起勇氣</t>
  </si>
  <si>
    <t>1. The bridge is made of strong steel. 2. She steeled herself before giving the speech.</t>
  </si>
  <si>
    <t>stick</t>
  </si>
  <si>
    <t>v. 刺；黏住 n. 棒；枝條</t>
  </si>
  <si>
    <t>1. The thorn stuck in his finger. 2. She stuck the note on the fridge with a magnet. 3. He found a long stick to use as a walking aid.</t>
  </si>
  <si>
    <t>stress</t>
  </si>
  <si>
    <t>n. 壓力 v. 強調</t>
  </si>
  <si>
    <t>1. Work-related stress can affect your health. 2. He stressed the need for honesty in his speech.</t>
  </si>
  <si>
    <t>stretch</t>
  </si>
  <si>
    <t>n. 伸展；延續 v. 伸縮</t>
  </si>
  <si>
    <t>1. The road stretches for miles through the countryside. 2. She likes to stretch her muscles before exercising.</t>
  </si>
  <si>
    <t>strict</t>
  </si>
  <si>
    <t>adj. 嚴格的</t>
  </si>
  <si>
    <t>The teacher is very strict about homework deadlines.</t>
  </si>
  <si>
    <t>struggle</t>
  </si>
  <si>
    <t>n./v. 奮鬥；掙扎</t>
  </si>
  <si>
    <t>1. She struggled to finish her homework on time. 2. The fish struggled to get free from the net. 3. Life is a constant struggle for many people.</t>
  </si>
  <si>
    <t>subway(美式)/underground(英式)</t>
  </si>
  <si>
    <t>n. 地鐵</t>
  </si>
  <si>
    <t>1. I take the subway to work every day. 2. The underground system in London is very extensive.</t>
  </si>
  <si>
    <t>suitable</t>
  </si>
  <si>
    <t>adj. 合適的</t>
  </si>
  <si>
    <t>This dress is suitable for formal occasions.</t>
  </si>
  <si>
    <t>supply</t>
  </si>
  <si>
    <t>n./v. 供給 n. 供應品；用品</t>
  </si>
  <si>
    <t>1. The city has a limited supply of clean water. 2. The company supplies food to local supermarkets. 3.If you're ordering office supplies, please put me down for a box of paper clips and a box of letterhead.</t>
  </si>
  <si>
    <t>suppose</t>
  </si>
  <si>
    <t>v. 猜想；假設；以為，認為</t>
  </si>
  <si>
    <t>1. I suppose it will rain tomorrow. 2. Let's suppose that you win the lottery. 3. He supposed that she was already home.</t>
  </si>
  <si>
    <t>surface</t>
  </si>
  <si>
    <t>n. 表面 v. 顯露；表面處裡；呈現 adj. 表面的</t>
  </si>
  <si>
    <t>1. The water's surface was calm and clear. 2. Problems began to surface during the meeting. 3. The surface layer of the road needs repairing.</t>
  </si>
  <si>
    <t>survival</t>
  </si>
  <si>
    <t>n. 生存；倖存；殘存</t>
  </si>
  <si>
    <t>1. His quick thinking ensured their survival in the wilderness. 2. The doctors fought for the patient’s survival.</t>
  </si>
  <si>
    <t>swim</t>
  </si>
  <si>
    <t>v./n. 游泳</t>
  </si>
  <si>
    <t>1. I swim in the pool every morning. 2. Let’s go for a swim after lunch.</t>
  </si>
  <si>
    <t>switch</t>
  </si>
  <si>
    <t>n. 開關；調節，交換 v. 轉換，交換；開關</t>
  </si>
  <si>
    <t>1. Press the switch to turn on the light. 2. She switched from tea to coffee in the mornings. 3. Please switch seats with me.</t>
  </si>
  <si>
    <t>tale</t>
  </si>
  <si>
    <t>n. 故事</t>
  </si>
  <si>
    <t>He told us a tale about his adventures at sea.</t>
  </si>
  <si>
    <t>target</t>
  </si>
  <si>
    <t>n. 目標；靶心 v. 把...作為目標</t>
  </si>
  <si>
    <t>1. Our sales target for this month is $50,000. 2. The archer hit the target. 3. The campaign targets young voters.</t>
  </si>
  <si>
    <t>task</t>
  </si>
  <si>
    <t>n. 任務 v. 派...任務</t>
  </si>
  <si>
    <t>My main task today is to finish the report.</t>
  </si>
  <si>
    <t>tax</t>
  </si>
  <si>
    <t>n. 稅；稅金 v. 向...課稅</t>
  </si>
  <si>
    <t>1. You must pay income tax every year. 2. The government taxes imported goods.</t>
  </si>
  <si>
    <t>technology</t>
  </si>
  <si>
    <t>n. 科技；工業技術</t>
  </si>
  <si>
    <t>1. Modern technology has changed the way we communicate. 2. The company is developing new technology for renewable energy.</t>
  </si>
  <si>
    <t>teens</t>
  </si>
  <si>
    <t>n. 青少年</t>
  </si>
  <si>
    <t>He learned to play the guitar in his teens.</t>
  </si>
  <si>
    <t>terrorism</t>
  </si>
  <si>
    <t>n. 恐怖主義；恐怖行動</t>
  </si>
  <si>
    <t>The government is taking strong measures to fight terrorism.</t>
  </si>
  <si>
    <t>terrorist</t>
  </si>
  <si>
    <t>adj. 恐怖分子</t>
  </si>
  <si>
    <t>The terrorist was captured by the authorities.</t>
  </si>
  <si>
    <t>text</t>
  </si>
  <si>
    <t>n. 文字；本文 v. 發簡訊</t>
  </si>
  <si>
    <t>1. I read the text of the speech online. 2. I will text you the details later.</t>
  </si>
  <si>
    <t>throughout</t>
  </si>
  <si>
    <t>prep. 遍布；從頭到尾 adv. 處處；始終</t>
  </si>
  <si>
    <t>1. The festival was celebrated throughout the city. 2. She worked hard throughout the year.</t>
  </si>
  <si>
    <t>thus</t>
  </si>
  <si>
    <t>adv. 因此，這樣</t>
  </si>
  <si>
    <t>The evidence was incomplete, thus the case was dismissed.</t>
  </si>
  <si>
    <t>tire</t>
  </si>
  <si>
    <t>v. 疲勞 n. 輪胎</t>
  </si>
  <si>
    <t>1. Walking long distances can tire you out quickly. 2. My car needs a new tire.</t>
  </si>
  <si>
    <t>tissue</t>
  </si>
  <si>
    <t>n. 紙巾，衛生紙；薄織物；薄紙；(身體的)組織</t>
  </si>
  <si>
    <t>1. Could you pass me a tissue? I need to blow my nose. 2. The doctor took a sample of tissue for testing.</t>
  </si>
  <si>
    <t>tone</t>
  </si>
  <si>
    <t>n. 音調，音色；語氣</t>
  </si>
  <si>
    <t>Her tone of voice suggested she was upset</t>
  </si>
  <si>
    <t>tour</t>
  </si>
  <si>
    <t>n./v. 旅遊；巡迴；參觀；巡演</t>
  </si>
  <si>
    <t>1. We went on a tour of Italy last summer. 2.The band is going on a world tour next year. 3.They toured Europe by train.</t>
  </si>
  <si>
    <t>toward/towards</t>
  </si>
  <si>
    <t>prep. 朝向；接近；對於</t>
  </si>
  <si>
    <t>1. She walked toward the door. 2. We are moving towards a cleaner energy future. 3. He has a positive attitude toward his work.</t>
  </si>
  <si>
    <t>track</t>
  </si>
  <si>
    <t>n. 足跡 v. 追蹤</t>
  </si>
  <si>
    <t>Police are trying to track the suspect.</t>
  </si>
  <si>
    <t>trial</t>
  </si>
  <si>
    <t>n. 試用，試驗；審判，審理；考試，艱難的事</t>
  </si>
  <si>
    <t>1. You can use the software for a 7-day free trial. 2. The murder case will go to trial next month. 3. Climbing the mountain in winter was a real trial.</t>
  </si>
  <si>
    <t>typical</t>
  </si>
  <si>
    <t>adj. 典型的；一貫的；特有的</t>
  </si>
  <si>
    <t>1. This painting is typical of his early work. 2. It’s typical of her to be late. 3. The hot and humid weather is typical in summer here.</t>
  </si>
  <si>
    <t>unit</t>
  </si>
  <si>
    <t>n. 單位；單元，組件；(軍事)部隊；(家用)套房，住宅單位</t>
  </si>
  <si>
    <t>1. The length is measured in meters, a common unit of measurement. 2. This textbook is divided into ten units. 3. The military unit was deployed overseas. 4. She just bought a new apartment unit downtown.</t>
  </si>
  <si>
    <t>unless</t>
  </si>
  <si>
    <t>conj. 除非</t>
  </si>
  <si>
    <t>You won’t pass the exam unless you study hard.</t>
  </si>
  <si>
    <t>upset</t>
  </si>
  <si>
    <t>adj. 翻倒的；心煩的，苦惱的 v. 弄翻；使心煩意亂 n. 意外的失敗或挫折；翻倒；混亂</t>
  </si>
  <si>
    <t>1. She was very upset about the bad news. 2. He was upset by the argument with his friend. 3. The unexpected result upset everyone. 4. The team suffered an upset in the championship game.</t>
  </si>
  <si>
    <t>used</t>
  </si>
  <si>
    <t>adj. 二手的，舊的</t>
  </si>
  <si>
    <t>I bought a used car last week.</t>
  </si>
  <si>
    <t>user</t>
  </si>
  <si>
    <t>n. 使用者</t>
  </si>
  <si>
    <t>The user logged into the system.</t>
  </si>
  <si>
    <t>view</t>
  </si>
  <si>
    <t>n. 視野，景色；看法 v. 查看，觀看；認為</t>
  </si>
  <si>
    <t>1. The hotel room has a beautiful view of the ocean. 2. In my view, we should wait a little longer. 3. We viewed the movie last night. 4. The committee views this proposal positively.</t>
  </si>
  <si>
    <t>waiter/waitress</t>
  </si>
  <si>
    <t>n. 服務員/女服務員</t>
  </si>
  <si>
    <t>The waiter brought us the menu quickly.</t>
  </si>
  <si>
    <t>wealth</t>
  </si>
  <si>
    <t>n. 財富，富有；大量</t>
  </si>
  <si>
    <t>1. He inherited a great wealth from his family. 2. The country’s natural wealth includes forests and minerals.</t>
  </si>
  <si>
    <t>weigh</t>
  </si>
  <si>
    <t>v. 秤...的重量；權衡</t>
  </si>
  <si>
    <t>1. Please weigh the luggage before going to the airport. 2. You should weigh the pros and cons before making a decision.</t>
  </si>
  <si>
    <t>western</t>
  </si>
  <si>
    <t>adj. 西方的 n. 西部地區的人</t>
  </si>
  <si>
    <t>They moved to a western state in the USA.</t>
  </si>
  <si>
    <t>whatever</t>
  </si>
  <si>
    <t>adj. 無論什麼，任何事物 pron. 任何...的事物；不管什麼</t>
  </si>
  <si>
    <t>1. Take whatever you want from the fridge. 2. Whatever happens, stay calm.</t>
  </si>
  <si>
    <t>whenever</t>
  </si>
  <si>
    <t>conj. 無論何時；每當 adv. 無論何時；每當</t>
  </si>
  <si>
    <t>1. You can call me whenever you need help. 2. Whenever I see her, she’s always smiling.</t>
  </si>
  <si>
    <t>wherever</t>
  </si>
  <si>
    <t>conj. 無論在哪裡 adv. 無論在哪裡</t>
  </si>
  <si>
    <t>1. You can sit wherever you like. 2. Wherever he goes, he makes friends easily.</t>
  </si>
  <si>
    <t>whisper</t>
  </si>
  <si>
    <t>n. 耳語，私語 v. 低聲說出，耳語</t>
  </si>
  <si>
    <t>1. I heard a whisper behind the door. 2. She whispered a secret to her friend.</t>
  </si>
  <si>
    <t>whoever</t>
  </si>
  <si>
    <t>pron. 無論是誰</t>
  </si>
  <si>
    <t>Whoever arrives first will get the prize.</t>
  </si>
  <si>
    <t>width</t>
  </si>
  <si>
    <t>n. 寬度</t>
  </si>
  <si>
    <t>The width of the table is two meters.</t>
  </si>
  <si>
    <t>willing</t>
  </si>
  <si>
    <t>adj. 願意的，樂意的</t>
  </si>
  <si>
    <t>She is willing to help with the project.</t>
  </si>
  <si>
    <t>wine</t>
  </si>
  <si>
    <t>n. 葡萄酒，紅酒</t>
  </si>
  <si>
    <t>They drank red wine with dinner.</t>
  </si>
  <si>
    <t>wire</t>
  </si>
  <si>
    <t>n. 電線 v. 用電線連接</t>
  </si>
  <si>
    <t>1. The electrician fixed the broken wire. 2. They wired the new house for internet.</t>
  </si>
  <si>
    <t>within</t>
  </si>
  <si>
    <t>prep. 在...之內 adv. 在裡面</t>
  </si>
  <si>
    <t>1. Please complete the task within two days. 2. There is no smoking allowed within the building.</t>
  </si>
  <si>
    <t>wonder</t>
  </si>
  <si>
    <t>v. 想知道 n. 奇蹟</t>
  </si>
  <si>
    <t>1. I wonder if it will rain tomorrow. 2. It’s a wonder that everyone survived the accident.</t>
  </si>
  <si>
    <t>wood(s)</t>
  </si>
  <si>
    <t>n. 木頭；樹林</t>
  </si>
  <si>
    <t>1. The table is made of wood. 2. We went hiking in the woods last weekend.</t>
  </si>
  <si>
    <t>wooden</t>
  </si>
  <si>
    <t>adj. 木製的</t>
  </si>
  <si>
    <t>They bought a wooden chair for the dining room.</t>
  </si>
  <si>
    <t>wool</t>
  </si>
  <si>
    <t>n. 羊毛</t>
  </si>
  <si>
    <t>She wore a warm sweater made of wool.</t>
  </si>
  <si>
    <t>worse</t>
  </si>
  <si>
    <t>adj. 更壞的 adv. 更壞 n. 更糟的事</t>
  </si>
  <si>
    <t>1. His health is getting worse. 2. Things are going from bad to worse.</t>
  </si>
  <si>
    <t>worst</t>
  </si>
  <si>
    <t>adj. 最壞的，最糟的 adv. 最壞地，最糟地 n. 最壞的部分</t>
  </si>
  <si>
    <t>1. This is the worst day of my life. 2. He performed the worst in the competition. 3. Prepare for the worst.</t>
  </si>
  <si>
    <t>worth</t>
  </si>
  <si>
    <t>adj. 有...價值的 n. 有價值</t>
  </si>
  <si>
    <t>1. This book is worth reading. 2. The painting is of great worth.</t>
  </si>
  <si>
    <t>yam</t>
  </si>
  <si>
    <t>n. 山藥</t>
  </si>
  <si>
    <t>Yam is a popular food in many countries.</t>
  </si>
  <si>
    <t>aboard</t>
  </si>
  <si>
    <t>prep. /adv. 上(船、飛機、車)；在(船、飛機、車)上</t>
  </si>
  <si>
    <t>1. There were 300 people aboard the ship. 2. All passengers must be aboard before the train departs.</t>
  </si>
  <si>
    <t>acceptable</t>
  </si>
  <si>
    <t>adj. 可以接受的</t>
  </si>
  <si>
    <t>Your behavior is not acceptable in this classroom.</t>
  </si>
  <si>
    <t>accurate</t>
  </si>
  <si>
    <t>adj. 準確的；精確的；正確無誤的</t>
  </si>
  <si>
    <t>The scientist gave an accurate description of the experiment.</t>
  </si>
  <si>
    <t>ache</t>
  </si>
  <si>
    <t>n./v. 疼痛</t>
  </si>
  <si>
    <t>1. I had a dull ache in my back after sitting too long. 2. My muscles ache after the long run.</t>
  </si>
  <si>
    <t>achieve</t>
  </si>
  <si>
    <t>v. 完成；達到</t>
  </si>
  <si>
    <t>She worked hard to achieve her goals.</t>
  </si>
  <si>
    <t>achievement</t>
  </si>
  <si>
    <t>n. 完成；達到；成就</t>
  </si>
  <si>
    <t>Winning the award was his greatest achievement.</t>
  </si>
  <si>
    <t>additional</t>
  </si>
  <si>
    <t>adj. 附加的，額外的</t>
  </si>
  <si>
    <t>We need additional time to finish the project.</t>
  </si>
  <si>
    <t>advanced</t>
  </si>
  <si>
    <t>adj. 先進的；高等的；進階的</t>
  </si>
  <si>
    <t>1. This phone has many advanced features. 2. She is taking an advanced English course.</t>
  </si>
  <si>
    <t>advantage</t>
  </si>
  <si>
    <t>n. 有利條件；優勢</t>
  </si>
  <si>
    <t>Knowing two languages is a big advantage in finding a job.</t>
  </si>
  <si>
    <t>adventure</t>
  </si>
  <si>
    <t>n. 冒險</t>
  </si>
  <si>
    <t>Going backpacking in the mountains was the biggest adventure of my life.</t>
  </si>
  <si>
    <t>advertise</t>
  </si>
  <si>
    <t>v. 為...做廣告</t>
  </si>
  <si>
    <t>The company plans to advertise its new product on TV.</t>
  </si>
  <si>
    <t>advertisement/ad</t>
  </si>
  <si>
    <t>n. 廣告</t>
  </si>
  <si>
    <t>I saw an advertisement for a new smartphone in the magazine.</t>
  </si>
  <si>
    <t>adviser/advisor</t>
  </si>
  <si>
    <t>n. 顧問；導師</t>
  </si>
  <si>
    <t>She works as a financial adviser for a large bank.</t>
  </si>
  <si>
    <t>afford</t>
  </si>
  <si>
    <t>v. 承擔得起；買得起；提供</t>
  </si>
  <si>
    <t>1. I can’t afford to buy a new car right now. 2. This job will afford you many opportunities to travel.</t>
  </si>
  <si>
    <t>afterward/afterwards</t>
  </si>
  <si>
    <t>adv. 之後，後來</t>
  </si>
  <si>
    <t>We went to a movie and afterward/afterwards we had dinner.</t>
  </si>
  <si>
    <t>agriculture</t>
  </si>
  <si>
    <t>n. 農業</t>
  </si>
  <si>
    <t>Modern agriculture uses advanced machinery to increase crop production.</t>
  </si>
  <si>
    <t>airline</t>
  </si>
  <si>
    <t>n. 航線；航空公司</t>
  </si>
  <si>
    <t>I booked a ticket with a major airline for my trip to Paris.</t>
  </si>
  <si>
    <t>alley</t>
  </si>
  <si>
    <t>n. 小巷子；小徑</t>
  </si>
  <si>
    <t>The cat ran quickly down the alley.</t>
  </si>
  <si>
    <t>admission</t>
  </si>
  <si>
    <t>n. 獲准；許可准許進入</t>
  </si>
  <si>
    <t>Candidates must pass the entrance exam before being given admission to an interview.</t>
  </si>
  <si>
    <t>be subject to</t>
  </si>
  <si>
    <t>phr. 受...約束；遭受...</t>
  </si>
  <si>
    <t>Regardless of their position or status, employees will be subject to annual evalutions.</t>
  </si>
  <si>
    <t>committed</t>
  </si>
  <si>
    <t>adj. 盡心盡責的</t>
  </si>
  <si>
    <t>We are seeking committed professionals in the fields of medicine and health administration.</t>
  </si>
  <si>
    <t>fire</t>
  </si>
  <si>
    <t>v. 開除</t>
  </si>
  <si>
    <t>Employees who commit serious breaches of company policy may be fired with two-week's notice.</t>
  </si>
  <si>
    <t>position</t>
  </si>
  <si>
    <t>n. 職位</t>
  </si>
  <si>
    <t>Please inform candidates that applying for multiple positions is against company policy.</t>
  </si>
  <si>
    <t>accordingly</t>
  </si>
  <si>
    <t>adv. 相應地；照著；因此</t>
  </si>
  <si>
    <t>Given the limited timeframe, selection procedures should be shortened accordingly.</t>
  </si>
  <si>
    <t>hire</t>
  </si>
  <si>
    <t>v. 雇用、聘請</t>
  </si>
  <si>
    <t>This month we will need to hire four people to fill vacancies in the human resources department.</t>
  </si>
  <si>
    <t>match</t>
  </si>
  <si>
    <t>v. 相配；符合</t>
  </si>
  <si>
    <t>Hiring managers should match a candidate's experience to the most appropriate department in the company.</t>
  </si>
  <si>
    <t>responsibility</t>
  </si>
  <si>
    <t>n. 責任；職責</t>
  </si>
  <si>
    <t>It is the HR director's responsibility to maintain our workforce's effectiveness.</t>
  </si>
  <si>
    <t>assessment</t>
  </si>
  <si>
    <t>n. 評估</t>
  </si>
  <si>
    <t>Assessment of potential hires should be done according to our ranking system.</t>
  </si>
  <si>
    <t>recruit</t>
  </si>
  <si>
    <t>v. 招收新成員</t>
  </si>
  <si>
    <t>The president specifically stated we were not to recruit overseas workers for this position.</t>
  </si>
  <si>
    <t>applicant</t>
  </si>
  <si>
    <t>n. 申請人；求職者</t>
  </si>
  <si>
    <t>Job applicants should always try to make the best first impression.</t>
  </si>
  <si>
    <t>consider</t>
  </si>
  <si>
    <t>v. 考慮；認為</t>
  </si>
  <si>
    <t>People considering a career change should first decide whether the new position will help them achieve their career goals.</t>
  </si>
  <si>
    <t>arrange</t>
  </si>
  <si>
    <t>v. 安排；布置</t>
  </si>
  <si>
    <t>Candidates who are unable to take the written exam on the scheduled day may arrange a make-up test.</t>
  </si>
  <si>
    <t>background</t>
  </si>
  <si>
    <t>n. 背景；經歷</t>
  </si>
  <si>
    <t>Questions regarding candidate's backgrounds should be limited to education and employment history.</t>
  </si>
  <si>
    <t>candidate</t>
  </si>
  <si>
    <t>n. 候選人；應試者；應徵者</t>
  </si>
  <si>
    <t>There are 12 candidates, but only five positions are available.</t>
  </si>
  <si>
    <t>experience</t>
  </si>
  <si>
    <t>n. 經驗；經歷</t>
  </si>
  <si>
    <t>How much experience do you have with maintaining large databases?</t>
  </si>
  <si>
    <t>interview</t>
  </si>
  <si>
    <t>n. 面談；面試</t>
  </si>
  <si>
    <t>There will be no group interviews. We will meet each candidates on a one-to-one basis.</t>
  </si>
  <si>
    <t>prior to</t>
  </si>
  <si>
    <t>在...之前</t>
  </si>
  <si>
    <t>Did the candidates research the company's current activities prior to the interview?</t>
  </si>
  <si>
    <t>reference</t>
  </si>
  <si>
    <t>n. 推薦信</t>
  </si>
  <si>
    <t>Three references are required to apply to this position.</t>
  </si>
  <si>
    <t>resume</t>
  </si>
  <si>
    <t>n. 履歷</t>
  </si>
  <si>
    <t>We were very impressed with your resume especially your work history.</t>
  </si>
  <si>
    <t>accomplishment</t>
  </si>
  <si>
    <t>n. 成就；實現</t>
  </si>
  <si>
    <t>I consider the release of my home accounting software to be one of my greatest accomplishment.</t>
  </si>
  <si>
    <t>capability</t>
  </si>
  <si>
    <t>n. 能力；性能</t>
  </si>
  <si>
    <t>In my previous job, I had many opportunities to prove my capability in multitasking.</t>
  </si>
  <si>
    <t>potential</t>
  </si>
  <si>
    <t>n. 潛力</t>
  </si>
  <si>
    <t>I believe my full potential has yet to have been realized.</t>
  </si>
  <si>
    <t>proficiency</t>
  </si>
  <si>
    <t>n. 語言能力；精通、熟練</t>
  </si>
  <si>
    <t>I have documented proficiency in English, Japanese and Chinese.</t>
  </si>
  <si>
    <t>profile</t>
  </si>
  <si>
    <t>n. 人物簡介</t>
  </si>
  <si>
    <t>I hope my profile clearly shows my dedication to the preservation and improvement of community.</t>
  </si>
  <si>
    <t>degree</t>
  </si>
  <si>
    <t>n. 等級；度數</t>
  </si>
  <si>
    <t>His resume exhibits a high degree of mastery of social media marketing.</t>
  </si>
  <si>
    <t>ethic</t>
  </si>
  <si>
    <t>n. 道德；倫理</t>
  </si>
  <si>
    <t>He claims to have a strong work ethic, but he's had four jobs in the past two years.</t>
  </si>
  <si>
    <t>recommendation</t>
  </si>
  <si>
    <t>n. 推薦；推薦信；勸告；優點</t>
  </si>
  <si>
    <t>If you have any recommendations regarding what personal qualities we should look for, please let me know.</t>
  </si>
  <si>
    <t>weakness</t>
  </si>
  <si>
    <t>n. 弱點；缺點</t>
  </si>
  <si>
    <t>Not looking for a better position is considered a weakness by many hiring manaders.</t>
  </si>
  <si>
    <t>elsewhere</t>
  </si>
  <si>
    <t>adv. 別處、其他地方</t>
  </si>
  <si>
    <t>I will seek employment elsewhere, because I'm not happy with how the company is treating me.</t>
  </si>
  <si>
    <t>benefit</t>
  </si>
  <si>
    <t>n. 利益；好處</t>
  </si>
  <si>
    <t>Free gym membership, yearly professional development courses, and on-site daycare are some of the benefit the company offers.</t>
  </si>
  <si>
    <t>complimentary</t>
  </si>
  <si>
    <t>adj. 贈送的；免費的；讚美的</t>
  </si>
  <si>
    <t>I don't like early meetings, but I definitely do enjoy the complimentary breakfast we get!</t>
  </si>
  <si>
    <t>generous</t>
  </si>
  <si>
    <t>adj. 慷慨的；大量的</t>
  </si>
  <si>
    <t>The company dosen't offer much leave, but it is certainly generous with the salaries it offers.</t>
  </si>
  <si>
    <t>leave</t>
  </si>
  <si>
    <t>n. 離開；休假</t>
  </si>
  <si>
    <t>I would gladly work for a lower salary if I could have more paid leave.</t>
  </si>
  <si>
    <t>practical</t>
  </si>
  <si>
    <t>adj. 實際的；實用的</t>
  </si>
  <si>
    <t>The training is very nice in theory, but it has no practical application to my work.</t>
  </si>
  <si>
    <t>satisfy</t>
  </si>
  <si>
    <t>v. 滿足</t>
  </si>
  <si>
    <t>The benefit here really don't satisfy my need--there is no dental care, no day care, and not much leave offered.</t>
  </si>
  <si>
    <t>diligent</t>
  </si>
  <si>
    <t>adj. 勤勉的；勤奮的</t>
  </si>
  <si>
    <t>She's got good ideas, but she's not particularly diligent when it comes to team work.</t>
  </si>
  <si>
    <t>dividend</t>
  </si>
  <si>
    <t>n. 紅利；股息；分紅；收益</t>
  </si>
  <si>
    <t>Our company is paying dividends in the form of a year-end bonus.</t>
  </si>
  <si>
    <t>eligible</t>
  </si>
  <si>
    <t>adj. 符合資格的；有資格的；合適的</t>
  </si>
  <si>
    <t>He's not eligible for the position, since he doesn't have college degree.</t>
  </si>
  <si>
    <t>entitle</t>
  </si>
  <si>
    <t>v. 授權(或資格)</t>
  </si>
  <si>
    <t>According to our company's policy, after a year, I'll be entitled to three weeks of vacation.</t>
  </si>
  <si>
    <t>grant</t>
  </si>
  <si>
    <t>n. 獎學金；補助金</t>
  </si>
  <si>
    <t>I am really hoping to get a grant from that research company.</t>
  </si>
  <si>
    <t>optional</t>
  </si>
  <si>
    <t>adj. 隨意的；非必需的</t>
  </si>
  <si>
    <t>I konw bonuses are technically optional, but I think the managers know that we expect them each year.</t>
  </si>
  <si>
    <t>productive</t>
  </si>
  <si>
    <t>adj. 多產的</t>
  </si>
  <si>
    <t>After his performance review, he got a raise for being so productive.</t>
  </si>
  <si>
    <t>representative</t>
  </si>
  <si>
    <t>n. 代表</t>
  </si>
  <si>
    <t>I'm going to speak to our human resources representative about getting some extra time off this year.</t>
  </si>
  <si>
    <t>respectively</t>
  </si>
  <si>
    <t>v. 分別地；各自地</t>
  </si>
  <si>
    <t>Based on our seniority, we get three and four weeks paid leave, respectively.</t>
  </si>
  <si>
    <t>tempt</t>
  </si>
  <si>
    <t>v. 引誘；吸引；打動</t>
  </si>
  <si>
    <t>I am very tempted to take their offer, because the benefits are so much better than my current position.</t>
  </si>
  <si>
    <t>acknowledge</t>
  </si>
  <si>
    <t>v. 承認</t>
  </si>
  <si>
    <t>He took the credit for the project's success and didn't acknowledge her contribution at all.</t>
  </si>
  <si>
    <t>contribute</t>
  </si>
  <si>
    <t>v. 貢獻</t>
  </si>
  <si>
    <t>I can't take all the credit for the plan. Everyone on the team contributed to it.</t>
  </si>
  <si>
    <t>dedication</t>
  </si>
  <si>
    <t>n. 奉獻；獻身</t>
  </si>
  <si>
    <t>They're hoping to inspire dedication by offering stock in the company rather than cash bonuses.</t>
  </si>
  <si>
    <t>motivate</t>
  </si>
  <si>
    <t>v. 刺激；激發</t>
  </si>
  <si>
    <t>The bigger bonuses are meant to motivate the emplyees to work harder.</t>
  </si>
  <si>
    <t>winner</t>
  </si>
  <si>
    <t>n. 贏家；優勝者</t>
  </si>
  <si>
    <t>After working on it night and day for a week, it looks like our proposal is going to be the winner!</t>
  </si>
  <si>
    <t>improve</t>
  </si>
  <si>
    <t>v. 增進；改善</t>
  </si>
  <si>
    <t>She's volunteering for every work group because she's really eager to improve her chances for a promotion.</t>
  </si>
  <si>
    <t>look forward to</t>
  </si>
  <si>
    <t>期待</t>
  </si>
  <si>
    <t>I like my work, but I'm really looking forward to my vacation next week.</t>
  </si>
  <si>
    <t>loyal</t>
  </si>
  <si>
    <t>adj. 忠誠的；忠心的</t>
  </si>
  <si>
    <t>I hope my loyal service to the company will be rewarded when they give out bonuses this year.</t>
  </si>
  <si>
    <t>merit</t>
  </si>
  <si>
    <t>n. 績效；價值；優點</t>
  </si>
  <si>
    <t>I'm tired of being passed over for promotions. I'm going to move to a company that values merit over seniority.</t>
  </si>
  <si>
    <t>devote</t>
  </si>
  <si>
    <t>v. 奉獻</t>
  </si>
  <si>
    <t>In his new position, most of his time will be devoted to client relations.</t>
  </si>
  <si>
    <t>lead</t>
  </si>
  <si>
    <t>v. 領導</t>
  </si>
  <si>
    <t>I'm surprised that he was promoted, because I don't think he leads his work group very well.</t>
  </si>
  <si>
    <t>lifetime</t>
  </si>
  <si>
    <t>n. 終身</t>
  </si>
  <si>
    <t>She rose from cashier to chief financial officer over her lifetime, which is a very impressive achievement.</t>
  </si>
  <si>
    <t>adjustment</t>
  </si>
  <si>
    <t>n. 調整</t>
  </si>
  <si>
    <t>With the cost of living rising so quickly, I believe we deserve a salary adjustment.</t>
  </si>
  <si>
    <t>flexible</t>
  </si>
  <si>
    <t>adj. 有彈性的</t>
  </si>
  <si>
    <t>My hours in the office are flexible, but I have to be on call from 9 a.m. to 5 p.m.</t>
  </si>
  <si>
    <t>limit</t>
  </si>
  <si>
    <t>n. 限制；界限</t>
  </si>
  <si>
    <t>They're talking about creating a salary cap and setting separate limits for each level in the hierarchy.</t>
  </si>
  <si>
    <t>raise</t>
  </si>
  <si>
    <t>n. 加薪</t>
  </si>
  <si>
    <t>If I don't get a raise soon, I'm going to look for another job.</t>
  </si>
  <si>
    <t>rise</t>
  </si>
  <si>
    <t>v. 上升；增加</t>
  </si>
  <si>
    <t>If the cost of living continues to rise, the company is going to have to increase people's salaries.</t>
  </si>
  <si>
    <t>salary</t>
  </si>
  <si>
    <t>n. 薪水</t>
  </si>
  <si>
    <t>The salary in my new position is terrible, but the work is so interesting that I don't mind.</t>
  </si>
  <si>
    <t>tenure</t>
  </si>
  <si>
    <t>n. (教授等地)終身職位；任期；任職期間；持有期間；占有權</t>
  </si>
  <si>
    <t>1. Once he's gotten tenure in the position, his salary won't change. 2. During his tenure as CEO, the company expanded globally.</t>
  </si>
  <si>
    <t>value</t>
  </si>
  <si>
    <t>n. 價值</t>
  </si>
  <si>
    <t>I don't think my salary reflects the value I bring to the company.</t>
  </si>
  <si>
    <t>wage</t>
  </si>
  <si>
    <t>I work such long hours that I'm glad I get an hourly wage rather than a set salary.</t>
  </si>
  <si>
    <t>introduce</t>
  </si>
  <si>
    <t>v. 介紹</t>
  </si>
  <si>
    <t>The principal function of orientation is to introduce the company's culture and its methods of operation.</t>
  </si>
  <si>
    <t>regulation</t>
  </si>
  <si>
    <t>n. 規章；條例；調節</t>
  </si>
  <si>
    <t>Rules concerning the regulation of intellectual property rights will be introduced during orientation.</t>
  </si>
  <si>
    <t>set up</t>
  </si>
  <si>
    <t>v. 豎立；架起</t>
  </si>
  <si>
    <t>Mr. Rasheed has agreed to set up the audio system for this month's seminar.</t>
  </si>
  <si>
    <t>take part in</t>
  </si>
  <si>
    <t>v. 參加</t>
  </si>
  <si>
    <t>Unlike last year, new programmers have to take part in the first stage of orientation this year.</t>
  </si>
  <si>
    <t>required</t>
  </si>
  <si>
    <t>adj. 要求的；必須的</t>
  </si>
  <si>
    <t>The required training excursion will focus on leadership, which the president feels is lacking in many managers.</t>
  </si>
  <si>
    <t>train</t>
  </si>
  <si>
    <t>v. 訓練；培訓</t>
  </si>
  <si>
    <t>We need to find someone who can train the staff to use the new office software.</t>
  </si>
  <si>
    <t>annual</t>
  </si>
  <si>
    <t>adj. 一年一度的；每年的</t>
  </si>
  <si>
    <t>The annual training course is held every August.</t>
  </si>
  <si>
    <t>bring together</t>
  </si>
  <si>
    <t>v. 招募；聚集</t>
  </si>
  <si>
    <t>We hope to bring together the most motivated and competitive employees.</t>
  </si>
  <si>
    <t>build up</t>
  </si>
  <si>
    <t>v. 建立</t>
  </si>
  <si>
    <t>The purpose of this excursion is to build up a sense of teamwork.</t>
  </si>
  <si>
    <t>guide</t>
  </si>
  <si>
    <t>v. 引導；指導；帶領 n. 指南；導遊；手冊</t>
  </si>
  <si>
    <t xml:space="preserve">1. Five former participants will guide trainees through the course. 2. The guide showed us around the museum. </t>
  </si>
  <si>
    <t>instructor</t>
  </si>
  <si>
    <t>n. 教練；指導者</t>
  </si>
  <si>
    <t>She said she did not want to be an instructor, even though she will plan training course.</t>
  </si>
  <si>
    <t>mentor</t>
  </si>
  <si>
    <t>n. 導師；良師益友</t>
  </si>
  <si>
    <t>Each group of trainees will be assigned a mentor, who will assist them during the hands-on portion.</t>
  </si>
  <si>
    <t>session</t>
  </si>
  <si>
    <t>n. (授課活動等的)時間；會議</t>
  </si>
  <si>
    <t>Each session will run for two hours, followed by a 20-minute break.</t>
  </si>
  <si>
    <t>site</t>
  </si>
  <si>
    <t>n. 地點</t>
  </si>
  <si>
    <t>The site for this year's training seminar will be in Frankfurt.</t>
  </si>
  <si>
    <t>entertainment</t>
  </si>
  <si>
    <t>n. 娛樂；消遣；娛樂活動</t>
  </si>
  <si>
    <t>Karaoke has become a popular form of entertainment at birthday parties.</t>
  </si>
  <si>
    <t>invite</t>
  </si>
  <si>
    <t>v. 邀請</t>
  </si>
  <si>
    <t>Be sure to invite all the managers, even ones from other department.</t>
  </si>
  <si>
    <t>present</t>
  </si>
  <si>
    <t>n. 禮物</t>
  </si>
  <si>
    <t>While bringing a present is not required, it is highly recommended.</t>
  </si>
  <si>
    <t>welcome</t>
  </si>
  <si>
    <t>v. 歡迎</t>
  </si>
  <si>
    <t>I would like to welcome you all to Kathy and Steve's first baby shower.</t>
  </si>
  <si>
    <t>congratulate</t>
  </si>
  <si>
    <t>v. 恭喜</t>
  </si>
  <si>
    <t>Let me be the first to congratulate you on your upcoming wedding and to wish you the very best.</t>
  </si>
  <si>
    <t>farewell</t>
  </si>
  <si>
    <t>adj. 送別的</t>
  </si>
  <si>
    <t>Is Mrs. Kerry retiring before or after her farewell party?</t>
  </si>
  <si>
    <t>party</t>
  </si>
  <si>
    <t>n. 宴會；派對；政黨</t>
  </si>
  <si>
    <t>Do you think it would be better to held Mr. Smith's farewell party at a restaurant or a bar?</t>
  </si>
  <si>
    <t>theme</t>
  </si>
  <si>
    <t>n. 主題；題材</t>
  </si>
  <si>
    <t>Has anyone decided if the party's theme will be a cruise voyage or an Italian getaway.</t>
  </si>
  <si>
    <t>attribute</t>
  </si>
  <si>
    <t>v. 歸因於</t>
  </si>
  <si>
    <t>She attributes her successes to the support of her coworkers and staff.</t>
  </si>
  <si>
    <t>awards ceremony</t>
  </si>
  <si>
    <t>n. 頒獎典禮</t>
  </si>
  <si>
    <t>The president will present the achievement awards during the awards ceremony following dinner.</t>
  </si>
  <si>
    <t>banquet</t>
  </si>
  <si>
    <t>n. 宴會；設宴款待</t>
  </si>
  <si>
    <t>The organizers have arranged for the banquet to be held in the hotel's conference room.</t>
  </si>
  <si>
    <t>celebrate</t>
  </si>
  <si>
    <t>v. 慶祝</t>
  </si>
  <si>
    <t>Once the president has finished her speech, we will celebrate the entrance of new employees into the company.</t>
  </si>
  <si>
    <t>commemorate</t>
  </si>
  <si>
    <t>v. 慶祝；紀念</t>
  </si>
  <si>
    <t>This event will commemorate our organization's 20th year of operation.</t>
  </si>
  <si>
    <t>activity</t>
  </si>
  <si>
    <t>n. 活動</t>
  </si>
  <si>
    <t>Which activities did you have in mind for this year's Christmas party.</t>
  </si>
  <si>
    <t>ancient</t>
  </si>
  <si>
    <t>adj. 古代的</t>
  </si>
  <si>
    <t>Giving children gifts of money at Chinese New Year is an ancient tradition in China.</t>
  </si>
  <si>
    <t>atmosphere</t>
  </si>
  <si>
    <t>n. 氣氛</t>
  </si>
  <si>
    <t>Keeping the time limit to three hours will help us maintain a festive atmosphere; more than that, and peaple will tired.</t>
  </si>
  <si>
    <t>costume</t>
  </si>
  <si>
    <t>n. 服裝；戲服</t>
  </si>
  <si>
    <t>We would like to remind employees that the wearing of costumes will not be permitted this Halloween.</t>
  </si>
  <si>
    <t>gather</t>
  </si>
  <si>
    <t>v. 聚集</t>
  </si>
  <si>
    <t>Employees should gather for New Year's party by 7p.m.</t>
  </si>
  <si>
    <t>observe</t>
  </si>
  <si>
    <t>v. 慶祝(節日等)；遵守；觀察</t>
  </si>
  <si>
    <t>This year, we will be observing both the Western and Chinese New years.</t>
  </si>
  <si>
    <t>anniversary</t>
  </si>
  <si>
    <t>n. 週年紀念</t>
  </si>
  <si>
    <t>Johnson's 25th wedding anniversary is this Friday, so let's have a small party for him at the office.</t>
  </si>
  <si>
    <t>admire</t>
  </si>
  <si>
    <t>v. 欽佩；欣賞；誇獎</t>
  </si>
  <si>
    <t>I think I speak for everyone here when I say how much I have admired your professionalism over the years.</t>
  </si>
  <si>
    <t>expect</t>
  </si>
  <si>
    <t>v. 預期</t>
  </si>
  <si>
    <t>When planning for retirement, it is important to expect medical costs to increse.</t>
  </si>
  <si>
    <t>retire</t>
  </si>
  <si>
    <t>v. 退休</t>
  </si>
  <si>
    <t>I can't believe Mrs. Yamada will be able to retire at 55.</t>
  </si>
  <si>
    <t>apprentice</t>
  </si>
  <si>
    <t>n. 學徒；見習生</t>
  </si>
  <si>
    <t>My machanic is looking for an apprentice.</t>
  </si>
  <si>
    <t>assistant</t>
  </si>
  <si>
    <t>n. 助手；助理</t>
  </si>
  <si>
    <t>I can't keep up with this paperwork. I need an assistant.</t>
  </si>
  <si>
    <t>associate</t>
  </si>
  <si>
    <t>n. 夥伴；合夥人</t>
  </si>
  <si>
    <t>This is George, my business associate.</t>
  </si>
  <si>
    <t>in charge of</t>
  </si>
  <si>
    <t>負責</t>
  </si>
  <si>
    <t>She is in charge of North American sales.</t>
  </si>
  <si>
    <t>beneath</t>
  </si>
  <si>
    <t>prep. 在...之下</t>
  </si>
  <si>
    <t>There are at least 10 people beneath her in the department.</t>
  </si>
  <si>
    <t>executive</t>
  </si>
  <si>
    <t>adj. 行政上的；管理階層的</t>
  </si>
  <si>
    <t>This is her first time in an executive position.</t>
  </si>
  <si>
    <t>fluctuation</t>
  </si>
  <si>
    <t>n. 變動；變化</t>
  </si>
  <si>
    <t>The constant fluctuations in personal mean I never know who my real boss is.</t>
  </si>
  <si>
    <t>level</t>
  </si>
  <si>
    <t>n. 程度；等級</t>
  </si>
  <si>
    <t>I thought my work was good, but his performance is really on another level.</t>
  </si>
  <si>
    <t>personnel</t>
  </si>
  <si>
    <t>n. (總稱)員工；人事</t>
  </si>
  <si>
    <t>If they don't hire some new people, they're going to face a serious personnel crisis.</t>
  </si>
  <si>
    <t>select</t>
  </si>
  <si>
    <t>v. 選擇</t>
  </si>
  <si>
    <t>I'm hoping to be selected as the new team leader.</t>
  </si>
  <si>
    <t>supervisor</t>
  </si>
  <si>
    <t>n. 主管</t>
  </si>
  <si>
    <t>I really need my supervisor to clarify what she want me to do.</t>
  </si>
  <si>
    <t>understaffed</t>
  </si>
  <si>
    <t>adj. 人手不足的</t>
  </si>
  <si>
    <t>We're so understaffed; I've ended up working until 10 p.m. every night this week.</t>
  </si>
  <si>
    <t>respectful</t>
  </si>
  <si>
    <t>adj. 尊重人的</t>
  </si>
  <si>
    <t>He has to learn to be more respectful of his superiors if he want to get ahead.</t>
  </si>
  <si>
    <t>spare</t>
  </si>
  <si>
    <t>adj. 多餘的</t>
  </si>
  <si>
    <t>It is just a small business corporation, so it may not have spare workforce for this projects.</t>
  </si>
  <si>
    <t>resign</t>
  </si>
  <si>
    <t>v. 辭職</t>
  </si>
  <si>
    <t>I dont want to resign until I've found a new position.</t>
  </si>
  <si>
    <t>assignment</t>
  </si>
  <si>
    <t>n. 任務；作業</t>
  </si>
  <si>
    <t>Have you finished the assignment yet?</t>
  </si>
  <si>
    <t>busy</t>
  </si>
  <si>
    <t>adj. 忙碌的</t>
  </si>
  <si>
    <t>She asked me to pick up her shift on Saturday, but I'm just too busy.</t>
  </si>
  <si>
    <t>shift</t>
  </si>
  <si>
    <t>n. 輪班</t>
  </si>
  <si>
    <t>I've got early shifts all week, so I can't stay up late.</t>
  </si>
  <si>
    <t>collaborate</t>
  </si>
  <si>
    <t>v. 合作</t>
  </si>
  <si>
    <t>Ther've decided that they want sales and marketing to collaborate on the new plan.</t>
  </si>
  <si>
    <t>department</t>
  </si>
  <si>
    <t>n. 部門；科系</t>
  </si>
  <si>
    <t>We used to have lunch together, but now that she's moved to another department, I hardly to see her anymore.</t>
  </si>
  <si>
    <t>integral</t>
  </si>
  <si>
    <t>adj. 不可或缺的</t>
  </si>
  <si>
    <t>He's an integral part of the design team. I don't know what I'd do without him.</t>
  </si>
  <si>
    <t>buyout</t>
  </si>
  <si>
    <t>n. 買斷；(產權)全部買下</t>
  </si>
  <si>
    <t>The company promises thst nothing will change for enployees after the buyout.</t>
  </si>
  <si>
    <t>control</t>
  </si>
  <si>
    <t>v. 控制</t>
  </si>
  <si>
    <t>I control the acquisition process at the company.</t>
  </si>
  <si>
    <t>takeover</t>
  </si>
  <si>
    <t>n. 收購；接管</t>
  </si>
  <si>
    <t>There will definitely be layoffs after the takeover.</t>
  </si>
  <si>
    <t>transition</t>
  </si>
  <si>
    <t>n. 過渡；交接</t>
  </si>
  <si>
    <t>They've sent a team of human resources specialists to help make sure the transition is smooth.</t>
  </si>
  <si>
    <t>acquisition</t>
  </si>
  <si>
    <t>n. 收購</t>
  </si>
  <si>
    <t>They get rid of their competition through acquisitions.</t>
  </si>
  <si>
    <t>corporate</t>
  </si>
  <si>
    <t>adj. 公司的；企業的</t>
  </si>
  <si>
    <t>In my opinion, only a corporate lawyer can answer those questions.</t>
  </si>
  <si>
    <t>institute</t>
  </si>
  <si>
    <t>n. (專科性的)學校，學院，大學；研究所</t>
  </si>
  <si>
    <t>The merging of these two well-known institutes has shocked the academic circles.</t>
  </si>
  <si>
    <t>merger</t>
  </si>
  <si>
    <t>n. (公司等的)合併</t>
  </si>
  <si>
    <t>What will the company's name be after the merger?</t>
  </si>
  <si>
    <t>transfer</t>
  </si>
  <si>
    <t>v. 轉讓</t>
  </si>
  <si>
    <t>We're going to transfer all our design work to them as part of the merger.</t>
  </si>
  <si>
    <t>appoint</t>
  </si>
  <si>
    <t>v. 任命；委派職務</t>
  </si>
  <si>
    <t>I can't believe the CEO appointed his daughter as chair of the research committee!</t>
  </si>
  <si>
    <t>be accounted for</t>
  </si>
  <si>
    <t>出席；到齊</t>
  </si>
  <si>
    <t>All the board members are accounted for, so I think we're ready to get started on the vote.</t>
  </si>
  <si>
    <t>board</t>
  </si>
  <si>
    <t>n. 董事會；(有特定用途的)板；牌子</t>
  </si>
  <si>
    <t>I think it's a great idea, but the board is so conservative that they might not approve it.</t>
  </si>
  <si>
    <t>boardroom</t>
  </si>
  <si>
    <t>n. 董事會會議室</t>
  </si>
  <si>
    <t>All the executives are gathered in the boardroom right now. I wonder what's going on.</t>
  </si>
  <si>
    <t>direct</t>
  </si>
  <si>
    <t>v. 指揮；主持；管理</t>
  </si>
  <si>
    <t>Who's going to direct the research team.</t>
  </si>
  <si>
    <t>reliable</t>
  </si>
  <si>
    <t>adj. 可靠的</t>
  </si>
  <si>
    <t>He's so reliable; he's never missed a deadline.</t>
  </si>
  <si>
    <t>title</t>
  </si>
  <si>
    <t>n. 頭銜</t>
  </si>
  <si>
    <t>The promotion is really just a change of title. Idon't have any new responsibilities.</t>
  </si>
  <si>
    <t>brick</t>
  </si>
  <si>
    <t>n. 磚</t>
  </si>
  <si>
    <t>The interior is wood paneling, but exterior is red brick.</t>
  </si>
  <si>
    <t>carpet</t>
  </si>
  <si>
    <t>n. 地毯</t>
  </si>
  <si>
    <t>Putting down carpet would help reduce the noise levels.</t>
  </si>
  <si>
    <t>closet</t>
  </si>
  <si>
    <t>n. 衣櫥</t>
  </si>
  <si>
    <t>Seeing as there are no closets, storage space will be a problem.</t>
  </si>
  <si>
    <t>compartment</t>
  </si>
  <si>
    <t>n. 包廂；隔間</t>
  </si>
  <si>
    <t>Each room is divided into three compartments, each of which is large enough to accommodate three cubicles.</t>
  </si>
  <si>
    <t>entrance</t>
  </si>
  <si>
    <t>n. 入口</t>
  </si>
  <si>
    <t>The south entrance needs a new passkey machine installed.</t>
  </si>
  <si>
    <t>furnished</t>
  </si>
  <si>
    <t>adj. 配有家具的</t>
  </si>
  <si>
    <t>A temporary solution would be to rent a furnished office, but it will be expensive.</t>
  </si>
  <si>
    <t>garage</t>
  </si>
  <si>
    <t>n. 車庫</t>
  </si>
  <si>
    <t>The garage has space for thirty cars and two trucks.</t>
  </si>
  <si>
    <t>lobby</t>
  </si>
  <si>
    <t>n. 大廳；門廊</t>
  </si>
  <si>
    <t>Given the large windows, the lobby should be right enough to make vistors feel comfortable.</t>
  </si>
  <si>
    <t>shelf</t>
  </si>
  <si>
    <t>n. (書櫃等的)架子</t>
  </si>
  <si>
    <t>We will need to install shelves in each cubicle so that workers have some place to display personal items.</t>
  </si>
  <si>
    <t>staff lounge</t>
  </si>
  <si>
    <t>n. 員工休息室</t>
  </si>
  <si>
    <t>Employees have asked for a refrigerator to be installed in the staff lounge.</t>
  </si>
  <si>
    <t>wing</t>
  </si>
  <si>
    <t>n. 側廳；廂房</t>
  </si>
  <si>
    <t>The north wing will house the IT department and all it servers.</t>
  </si>
  <si>
    <t>workplace</t>
  </si>
  <si>
    <t>n. 工作場所</t>
  </si>
  <si>
    <t>Will we be able to maintain safety in a workplace this narrow? There's limited space between the walls and the robots.</t>
  </si>
  <si>
    <t>adjacent</t>
  </si>
  <si>
    <t>adj. 鄰接的</t>
  </si>
  <si>
    <t>The adjacent building blocks most of the afternoon sunlight.</t>
  </si>
  <si>
    <t>broad</t>
  </si>
  <si>
    <t>adj. 寬的</t>
  </si>
  <si>
    <t>The service road is broad enough so that our trucks will have no problem driving down it.</t>
  </si>
  <si>
    <t>construction</t>
  </si>
  <si>
    <t>n. 建築物</t>
  </si>
  <si>
    <t>There are no large constructions nearby, so we anticipate no difficulties receiving satellite signals.</t>
  </si>
  <si>
    <t>district</t>
  </si>
  <si>
    <t>n. 區域</t>
  </si>
  <si>
    <t>Our new office is in a residential district, so it is expected there will be a lot of houses and schools there.</t>
  </si>
  <si>
    <t>indoor</t>
  </si>
  <si>
    <t>adj. 室內的</t>
  </si>
  <si>
    <t>It's too dark, there's not enough indoor lighting in the warehouse.</t>
  </si>
  <si>
    <t>location</t>
  </si>
  <si>
    <t>n. 位置；場所；所在地</t>
  </si>
  <si>
    <t>Rail and highway access is a key consideration when selecting a location for our new factory.</t>
  </si>
  <si>
    <t>neighborhood</t>
  </si>
  <si>
    <t>n. 鄰近地區</t>
  </si>
  <si>
    <t>The surrounging neighborhood is mostly apartments and convenience stores, with a couple of small parks.</t>
  </si>
  <si>
    <t>on-site</t>
  </si>
  <si>
    <t>adj. 就地的；現場的</t>
  </si>
  <si>
    <t>Dangerous materials cannot be stored in on-site containers. Instead, they must be transported to a remote location.</t>
  </si>
  <si>
    <t>patio</t>
  </si>
  <si>
    <t>n. 中庭；院子</t>
  </si>
  <si>
    <t>The patio is wide enough for three sets of tables and chairs.</t>
  </si>
  <si>
    <t>railing</t>
  </si>
  <si>
    <t>n. 欄杆，扶手；柵欄，圍欄</t>
  </si>
  <si>
    <t>To comply with safety regulations, every second-floor landing must have a railing.</t>
  </si>
  <si>
    <t>statue</t>
  </si>
  <si>
    <t>n. 雕像</t>
  </si>
  <si>
    <t>The mayor's office is considering putting up a statue of the town's founder at corner.</t>
  </si>
  <si>
    <t>suburb</t>
  </si>
  <si>
    <t>n. 郊區</t>
  </si>
  <si>
    <t>Most suburbs have a large amount of residential housing, some small buisnesses catering to resident, and little to no industry.</t>
  </si>
  <si>
    <t>surround</t>
  </si>
  <si>
    <t>v. 圍繞</t>
  </si>
  <si>
    <t>The city has ruled that all factories must be surrounded by a green zone not less than 10 meters wide.</t>
  </si>
  <si>
    <t>work on</t>
  </si>
  <si>
    <t>從事</t>
  </si>
  <si>
    <t>Our recent environmental impact evaluation makes it clear we must work on reducing our emissions.</t>
  </si>
  <si>
    <t>amenities</t>
  </si>
  <si>
    <t>n. 福利設施</t>
  </si>
  <si>
    <t>These company dormitories have all the standard amenities of a mid-priced hotel, including Wi-Fi and cable TV.</t>
  </si>
  <si>
    <t>basic</t>
  </si>
  <si>
    <t>adj. 基本的；基礎的</t>
  </si>
  <si>
    <t>The basic utilities, water and electricity, are included in the rental fee.</t>
  </si>
  <si>
    <t>convenient</t>
  </si>
  <si>
    <t>adj. 方便的</t>
  </si>
  <si>
    <t>The location is convenient for anyone needing easy access to downtown.</t>
  </si>
  <si>
    <t>electricity</t>
  </si>
  <si>
    <t>n. 電力</t>
  </si>
  <si>
    <t>The power company has a buy-back scheme for local households with solar power systems generating excess electricity.</t>
  </si>
  <si>
    <t>energy</t>
  </si>
  <si>
    <t>n. 能量</t>
  </si>
  <si>
    <t>The president is considering installing a geothermal energy system to heat the building.</t>
  </si>
  <si>
    <t>reduce</t>
  </si>
  <si>
    <t>v. 減少；降低</t>
  </si>
  <si>
    <t>Is there any way to reduce our gas bill? It has gone beyond our budget for the third month in a row now.</t>
  </si>
  <si>
    <t>stationery</t>
  </si>
  <si>
    <t>n. 文具</t>
  </si>
  <si>
    <t>Given how much paper our office uses, we need to find a cheap stationery supplier immediately.</t>
  </si>
  <si>
    <t>utilities</t>
  </si>
  <si>
    <t>n. 公用事業(通常指水、電、瓦斯等)</t>
  </si>
  <si>
    <t>Among the utilities we will need to hook up first, electricity and gas are the highest priority.</t>
  </si>
  <si>
    <t>monitor</t>
  </si>
  <si>
    <t>n. 監視器</t>
  </si>
  <si>
    <t>The building has monitors for both the front and rear entrances.</t>
  </si>
  <si>
    <t>lease</t>
  </si>
  <si>
    <t>n. 租金；租約 v. 租借</t>
  </si>
  <si>
    <t>The cost of the lease is too high; it would've been cheaper if we had bought a space for long-term use.</t>
  </si>
  <si>
    <t>mortgage</t>
  </si>
  <si>
    <t>n. 抵押借款</t>
  </si>
  <si>
    <t>Before we consider taking out a mortgage, let's look into renting an office space.</t>
  </si>
  <si>
    <t>stationary</t>
  </si>
  <si>
    <t>adj. 不動的；固定的</t>
  </si>
  <si>
    <t>Actually, the interior walls are not stationary; they can be removed to create a large space.</t>
  </si>
  <si>
    <t>tenant</t>
  </si>
  <si>
    <t>n. 房客；承租人；住戶</t>
  </si>
  <si>
    <t>The previous tenants falied to do necessary maintenance, so the property needs a lots of cleaning and repairs.</t>
  </si>
  <si>
    <t>trustee</t>
  </si>
  <si>
    <t>n. 收託人</t>
  </si>
  <si>
    <t>Since the original owner died, the property has been managed by a trustee.</t>
  </si>
  <si>
    <t>borrow</t>
  </si>
  <si>
    <t>v. 借入</t>
  </si>
  <si>
    <t>Can I borrow the book when you're finished.</t>
  </si>
  <si>
    <t>extension</t>
  </si>
  <si>
    <t>n. 延長時間；延期；擴展；分機；附加部分</t>
  </si>
  <si>
    <t>1. We haven't finished using the conference room--can we have an extension until 3p.m.? 2. Please dial extension 201 to reach the manager.</t>
  </si>
  <si>
    <t>rent</t>
  </si>
  <si>
    <t>v. 租入；租出</t>
  </si>
  <si>
    <t>I'm looking for an apartment to rent, but I hope to buy a house soon.</t>
  </si>
  <si>
    <t>reserve</t>
  </si>
  <si>
    <t>v. 預約；保留</t>
  </si>
  <si>
    <t>I'm going to reserve a van to take us to the company picnic.</t>
  </si>
  <si>
    <t>belong</t>
  </si>
  <si>
    <t>v. 屬於</t>
  </si>
  <si>
    <t>Who does this tablet belong to?</t>
  </si>
  <si>
    <t>demolish</t>
  </si>
  <si>
    <t>v. 拆除；破壞</t>
  </si>
  <si>
    <t>It can't be fixed. there is no other way but to demolish it.</t>
  </si>
  <si>
    <t>dispose</t>
  </si>
  <si>
    <t>v. 處理</t>
  </si>
  <si>
    <t>Where should I dispose of dead batteries?</t>
  </si>
  <si>
    <t>renovate</t>
  </si>
  <si>
    <t>v. 整修</t>
  </si>
  <si>
    <t>The apartment is shabby now, but imagine how it could be if we renovate it!</t>
  </si>
  <si>
    <t>repair</t>
  </si>
  <si>
    <t>v. 修理</t>
  </si>
  <si>
    <t>Do you know of a shop that repairs watches.</t>
  </si>
  <si>
    <t>occupy</t>
  </si>
  <si>
    <t>v. 占用</t>
  </si>
  <si>
    <t>I'm afraid we're going to occupy the only meeting room all day.</t>
  </si>
  <si>
    <t>share</t>
  </si>
  <si>
    <t>v. 分享</t>
  </si>
  <si>
    <t>I share an office with Tom Smith.</t>
  </si>
  <si>
    <t>as needed</t>
  </si>
  <si>
    <t>phr. 需要的時候</t>
  </si>
  <si>
    <t>We don't restock our stationery according to any schedule, just as needed.</t>
  </si>
  <si>
    <t>alternative</t>
  </si>
  <si>
    <t>n. 選擇；替代方案</t>
  </si>
  <si>
    <t>What you're suggesting isn't possible. Can you give me an alternative.</t>
  </si>
  <si>
    <t>detailed</t>
  </si>
  <si>
    <t>adj. 詳細的</t>
  </si>
  <si>
    <t>I've never done this before, so please be as detailed as possible in your instruction.</t>
  </si>
  <si>
    <t>insufficient</t>
  </si>
  <si>
    <t>adj. 不足的；不充分的</t>
  </si>
  <si>
    <t>I thought I'd be able to assemble this by my self, but the manual is completely insufficient.</t>
  </si>
  <si>
    <t>once</t>
  </si>
  <si>
    <t>adv. 一旦；只要</t>
  </si>
  <si>
    <t>Once you're fitted the bolt, slowly turn the gear.</t>
  </si>
  <si>
    <t>periodically</t>
  </si>
  <si>
    <t>adv. 週期性地</t>
  </si>
  <si>
    <t>Shake the can periodically so the paint doesn't settle.</t>
  </si>
  <si>
    <t>procedure</t>
  </si>
  <si>
    <t>n. 程序，手續；步驟</t>
  </si>
  <si>
    <t>It's such a simple procedure, I don't think I need to read the directions.</t>
  </si>
  <si>
    <t>secure</t>
  </si>
  <si>
    <t>v. 把......固定</t>
  </si>
  <si>
    <t>Secure the handle, then turn on the machine.</t>
  </si>
  <si>
    <t>appliance</t>
  </si>
  <si>
    <t>n. 設備；用具；裝置</t>
  </si>
  <si>
    <t>Our office appliances are so out-of-date.</t>
  </si>
  <si>
    <t>container</t>
  </si>
  <si>
    <t>n. 容器</t>
  </si>
  <si>
    <t>Where's the container for paper clips.</t>
  </si>
  <si>
    <t>contractor</t>
  </si>
  <si>
    <t>n. 包商；承包人</t>
  </si>
  <si>
    <t>No one here knows how to do a repair that complex. We'll have to hire a contractor.</t>
  </si>
  <si>
    <t>device</t>
  </si>
  <si>
    <t>n. 裝置；器械；儀器</t>
  </si>
  <si>
    <t>In an office with no pencils, a pencil sharpener is a useless device.</t>
  </si>
  <si>
    <t>directory</t>
  </si>
  <si>
    <t>n. 電話簿；通訊錄；目錄</t>
  </si>
  <si>
    <t>Could you check the personnel directory and find out how to contact each team member.</t>
  </si>
  <si>
    <t>equipment</t>
  </si>
  <si>
    <t>n. 設備；配備；器材</t>
  </si>
  <si>
    <t>I hope they're going to order some new printing equipment.</t>
  </si>
  <si>
    <t>facility</t>
  </si>
  <si>
    <t>n. (尤指包含多個建築物，有特定用途的)設施；場所</t>
  </si>
  <si>
    <t>If we want to produce things on such a huge scale, we're going to need a much bigger facility.</t>
  </si>
  <si>
    <t>maintenance</t>
  </si>
  <si>
    <t>n. 維修；保養</t>
  </si>
  <si>
    <t>We need a maintenance crew to come take a look at this leak in the kitchen.</t>
  </si>
  <si>
    <t>property</t>
  </si>
  <si>
    <t>n. 財產；所有物</t>
  </si>
  <si>
    <t>We're not allow to take company property home, not even pens.</t>
  </si>
  <si>
    <t>resource</t>
  </si>
  <si>
    <t>n. 資源</t>
  </si>
  <si>
    <t>You can't move the scanner into your office, it's a shared resource!</t>
  </si>
  <si>
    <t>software</t>
  </si>
  <si>
    <t>n. 電腦軟體</t>
  </si>
  <si>
    <t>We need to update our accounting software.</t>
  </si>
  <si>
    <t>acquaint</t>
  </si>
  <si>
    <t>v. 使認識、使熟悉</t>
  </si>
  <si>
    <t>You really should acquaint yourself with the machine before you need to use it urgently.</t>
  </si>
  <si>
    <t>at all time</t>
  </si>
  <si>
    <t>phr. 任何時候</t>
  </si>
  <si>
    <t>Please use caution at all time when operating the espresso machine.</t>
  </si>
  <si>
    <t>carefully</t>
  </si>
  <si>
    <t>adv. 小心地</t>
  </si>
  <si>
    <t>You have to add the cartridge very carefully or it'll jam.</t>
  </si>
  <si>
    <t>follow</t>
  </si>
  <si>
    <t>v. 跟隨；聽從</t>
  </si>
  <si>
    <t>If you don't follow the instructions, you might break something.</t>
  </si>
  <si>
    <t>helpful</t>
  </si>
  <si>
    <t>adj. 有幫助的</t>
  </si>
  <si>
    <t>If you don't bother to read the manual, you'll find it's very helpful.</t>
  </si>
  <si>
    <t>manual</t>
  </si>
  <si>
    <t>n. 手冊；使用說明書 adj. 手動的；用手操作的</t>
  </si>
  <si>
    <t>1. Didn't the box contain a user's manual? 2. The machine can be operated in manual mode.</t>
  </si>
  <si>
    <t>method</t>
  </si>
  <si>
    <t>n. 方法</t>
  </si>
  <si>
    <t>The manual say "break down the machine" but doesn't give us any method for doing that!</t>
  </si>
  <si>
    <t>structure</t>
  </si>
  <si>
    <t>n. 結構；構造；建築物</t>
  </si>
  <si>
    <t>There's an office shelving structure in the instructions diagram that I can't identify.</t>
  </si>
  <si>
    <t>complete</t>
  </si>
  <si>
    <t>v. 完成</t>
  </si>
  <si>
    <t>Several employees have complained that evem though they completed the customer's data entry, they system didn't save it.</t>
  </si>
  <si>
    <t>fill</t>
  </si>
  <si>
    <t>v. 填滿；填寫</t>
  </si>
  <si>
    <t>The clients filled the remaining space with their e-mail addresses.</t>
  </si>
  <si>
    <t>item</t>
  </si>
  <si>
    <t>n. 項目</t>
  </si>
  <si>
    <t>Data entry forms should not have more than 10 items.</t>
  </si>
  <si>
    <t>signature</t>
  </si>
  <si>
    <t>n. 簽名</t>
  </si>
  <si>
    <t>Every form must have space for three signatures.</t>
  </si>
  <si>
    <t>template</t>
  </si>
  <si>
    <t>n. 範本</t>
  </si>
  <si>
    <t>Be sure to use the approved template whenever creating new expense reports.</t>
  </si>
  <si>
    <t>approve</t>
  </si>
  <si>
    <t>v. 贊成；同意；批准</t>
  </si>
  <si>
    <t>1. Before your loan application can be approved, you need to provide proof of your assets. 2. Do you approve of this plan?</t>
  </si>
  <si>
    <t>deadline</t>
  </si>
  <si>
    <t>n. 截止期限</t>
  </si>
  <si>
    <t>The deadline is January 20, so make sure you finish the report no later than the 19th.</t>
  </si>
  <si>
    <t>reject</t>
  </si>
  <si>
    <t>v. 拒絕；駁回</t>
  </si>
  <si>
    <t>The most common reason for rejecting an application is completing the paperwork incorrectly.</t>
  </si>
  <si>
    <t>rush</t>
  </si>
  <si>
    <t>v. 催趕；衝忙趕事</t>
  </si>
  <si>
    <t>There is no way to rush the process without sacrificing quality.</t>
  </si>
  <si>
    <t>submit</t>
  </si>
  <si>
    <t>v. 送出；繳交</t>
  </si>
  <si>
    <t>Fifteen candidates submitted applications for the assistant manager position.</t>
  </si>
  <si>
    <t>appendix</t>
  </si>
  <si>
    <t>n. 附錄；闌尾</t>
  </si>
  <si>
    <t>1. A user's manual without an appendix is not user-friendly. 2. He had surgery to remove his appendix.</t>
  </si>
  <si>
    <t>compile</t>
  </si>
  <si>
    <t>v. 編譯；整理；彙整</t>
  </si>
  <si>
    <t>Please compile a list of inactive customers with their home addresses and phone numbers.</t>
  </si>
  <si>
    <t>divide</t>
  </si>
  <si>
    <t>v. 分；分開</t>
  </si>
  <si>
    <t>Divide the page into three columns to make it easier to read.</t>
  </si>
  <si>
    <t>abnormal</t>
  </si>
  <si>
    <t>adj. 異常的</t>
  </si>
  <si>
    <t>The doctor found an abnormal result in the blood test.</t>
  </si>
  <si>
    <t>abort</t>
  </si>
  <si>
    <t>v. 中止</t>
  </si>
  <si>
    <t>The pilot decided to abort the flight because of bad weather.</t>
  </si>
  <si>
    <t>acid</t>
  </si>
  <si>
    <t>n. 酸</t>
  </si>
  <si>
    <t>Lemon juice contains a natural acid.</t>
  </si>
  <si>
    <t>active</t>
  </si>
  <si>
    <t>adj. 主動的；積極的</t>
  </si>
  <si>
    <t>She is very active in school activities.</t>
  </si>
  <si>
    <t>add</t>
  </si>
  <si>
    <t>v. 增加；添加</t>
  </si>
  <si>
    <t>Please add some sugar to the coffee.</t>
  </si>
  <si>
    <t>adjust</t>
  </si>
  <si>
    <t>v. 調整</t>
  </si>
  <si>
    <t>Please adjust the chair to a comfortable height.</t>
  </si>
  <si>
    <t>air shower</t>
  </si>
  <si>
    <t>n. 潔淨通道</t>
  </si>
  <si>
    <t>Workers must pass through the air shower before entering the clean room.</t>
  </si>
  <si>
    <t>alarm</t>
  </si>
  <si>
    <t>n. 警報</t>
  </si>
  <si>
    <t>The fire alarm suddenly went off during the meeting.</t>
  </si>
  <si>
    <t>alert</t>
  </si>
  <si>
    <t>The weather service issued a flood alert this morning.</t>
  </si>
  <si>
    <t>align</t>
  </si>
  <si>
    <t>v. 對焦</t>
  </si>
  <si>
    <t>Please align the boxes neatly on the shelf.</t>
  </si>
  <si>
    <t>annually</t>
  </si>
  <si>
    <t>adv. 每年地</t>
  </si>
  <si>
    <t>The company holds a meeting annually.</t>
  </si>
  <si>
    <t>area</t>
  </si>
  <si>
    <t>This area is reserved for employees only.</t>
  </si>
  <si>
    <t>attach</t>
  </si>
  <si>
    <t>v. 附上</t>
  </si>
  <si>
    <t>Please attach the file to your email.</t>
  </si>
  <si>
    <t>automatic</t>
  </si>
  <si>
    <t>adj. 自動的</t>
  </si>
  <si>
    <t>The doors open automatically when someone approaches.</t>
  </si>
  <si>
    <t>automotive</t>
  </si>
  <si>
    <t>adj. 汽車的</t>
  </si>
  <si>
    <t>He works in the automotive industry.</t>
  </si>
  <si>
    <t>available</t>
  </si>
  <si>
    <t>adj. 可使用的；可購買的；有空的</t>
  </si>
  <si>
    <t>1. Is this meeting room available this afternoon? 2. These products are available online. 3. The manager is not available right now.</t>
  </si>
  <si>
    <t>backup</t>
  </si>
  <si>
    <t>n. 備份；支援；備用方案 adj. 備用的；支援的 v. 備份</t>
  </si>
  <si>
    <t>1. Always keep a backup of important files. 2. I made a backup of my files. 3. We need a backup plan in case of failure.</t>
  </si>
  <si>
    <t>bank</t>
  </si>
  <si>
    <t>n. 銀行 v. 暫存</t>
  </si>
  <si>
    <t>1. I went to the bank to deposit some money. 2. She banks her salary every month.</t>
  </si>
  <si>
    <t>beam</t>
  </si>
  <si>
    <t>n. 光束</t>
  </si>
  <si>
    <t>A beam of light came through the window.</t>
  </si>
  <si>
    <t>benchmark</t>
  </si>
  <si>
    <t>n. 標竿；標準</t>
  </si>
  <si>
    <t>This product sets a new benchmark in the industry.</t>
  </si>
  <si>
    <t>bottle</t>
  </si>
  <si>
    <t>n. 瓶子</t>
  </si>
  <si>
    <t>Please drink a bottle of water every day.</t>
  </si>
  <si>
    <t>bottom</t>
  </si>
  <si>
    <t>n. 底部</t>
  </si>
  <si>
    <t>The keys are at the bottom of the bag.</t>
  </si>
  <si>
    <t>broken</t>
  </si>
  <si>
    <t>adj. 破掉的；壞掉的</t>
  </si>
  <si>
    <t>My phone is broken, so I can’t use it.</t>
  </si>
  <si>
    <t>cancel</t>
  </si>
  <si>
    <t>v. 取消</t>
  </si>
  <si>
    <t>The meeting was canceled due to heavy rain.</t>
  </si>
  <si>
    <t>card</t>
  </si>
  <si>
    <t>n. 卡片</t>
  </si>
  <si>
    <t>I used my credit card to pay for the meal.</t>
  </si>
  <si>
    <t>cassette</t>
  </si>
  <si>
    <t>n. 晶片專用盒</t>
  </si>
  <si>
    <t>The wafer are stored in a wafer cassette to avoid contamination.</t>
  </si>
  <si>
    <t>center</t>
  </si>
  <si>
    <t>n. 中心</t>
  </si>
  <si>
    <t>The meeting was held in the city center.</t>
  </si>
  <si>
    <t>certify</t>
  </si>
  <si>
    <t>v. 證實；認證</t>
  </si>
  <si>
    <t>The engineer certified that the machine was safe to use.</t>
  </si>
  <si>
    <t>change</t>
  </si>
  <si>
    <t>v. 更換</t>
  </si>
  <si>
    <t>I want to change my job next year.</t>
  </si>
  <si>
    <t>chart</t>
  </si>
  <si>
    <t>n. 圖表</t>
  </si>
  <si>
    <t>The sales chart shows a steady increase.</t>
  </si>
  <si>
    <t>stunned</t>
  </si>
  <si>
    <t>adj. 震驚的、驚呆的</t>
  </si>
  <si>
    <t>I was stunned by the unexpected news.</t>
  </si>
  <si>
    <t>stun</t>
  </si>
  <si>
    <t>v. 使震驚、使目瞪口呆</t>
  </si>
  <si>
    <t>The final result stunned everyone in the room.</t>
  </si>
  <si>
    <t>overcome</t>
  </si>
  <si>
    <t>v. 克服、戰勝；受到強烈影響而難以控制</t>
  </si>
  <si>
    <t>1. She worked hard to overcome her fear of speaking in public. 2. He was overcome with emotion after hearing the good news.</t>
  </si>
  <si>
    <t>composed</t>
  </si>
  <si>
    <t>adj. 冷靜的、鎮定的</t>
  </si>
  <si>
    <t>She remained composed during the interview.</t>
  </si>
  <si>
    <t>compose</t>
  </si>
  <si>
    <t>v. 組成、構成；創作</t>
  </si>
  <si>
    <t>1. Water is composed of hydrogen and oxygen. 2. Mozart composed many famous pieces of music.</t>
  </si>
  <si>
    <t>tolerance</t>
  </si>
  <si>
    <t>n. 容忍、忍耐力、耐性</t>
  </si>
  <si>
    <t>Good teamwork requires patience and tolerance.</t>
  </si>
  <si>
    <t>tolerate</t>
  </si>
  <si>
    <t>v. 容忍、忍受</t>
  </si>
  <si>
    <t>I can't tolerate loud noise when studying.</t>
  </si>
  <si>
    <t>insane</t>
  </si>
  <si>
    <t>adj. 瘋狂的、荒唐的；精神失常的</t>
  </si>
  <si>
    <t>1. The ticket prices were insanely expensive. 2. The criminal was declared insane by the court.</t>
  </si>
  <si>
    <t>insanely</t>
  </si>
  <si>
    <t>adv. 極度地、非常地</t>
  </si>
  <si>
    <t>She is insanely good at playing the piano.</t>
  </si>
  <si>
    <t>start out</t>
  </si>
  <si>
    <t>phr. v. 開始、起初著手做某事；出發、動身</t>
  </si>
  <si>
    <t>1. He started out as a technician before becoming a manager. 2. We started out early in the morning to avoid traffic.</t>
  </si>
  <si>
    <t>timed</t>
  </si>
  <si>
    <t>adj. 計時的、限時的</t>
  </si>
  <si>
    <t>The students took a timed test in class today.</t>
  </si>
  <si>
    <t>time</t>
  </si>
  <si>
    <t>v. 為...計時 n. 時間</t>
  </si>
  <si>
    <t>1. She timed how long it took to finish the task. 2. Time passes quickly when you are busy.</t>
  </si>
  <si>
    <t>faint</t>
  </si>
  <si>
    <t>adj. 微弱的、模糊的 v. 昏倒、暈倒</t>
  </si>
  <si>
    <t>1. I heard a faint sound coming from outside. 2. She almost fainted because of the heat.</t>
  </si>
  <si>
    <t>faintly</t>
  </si>
  <si>
    <t>adv. 微弱地、隱約地</t>
  </si>
  <si>
    <t>I could faintly see the lights in the distance.</t>
  </si>
  <si>
    <t>cogwheel</t>
  </si>
  <si>
    <t>n. 齒輪</t>
  </si>
  <si>
    <t>The broken cogwheel stopped the machine from working.</t>
  </si>
  <si>
    <t>cog</t>
  </si>
  <si>
    <t>n. 齒、輪齒；小零件</t>
  </si>
  <si>
    <t>Every cog in the machine must work properly.</t>
  </si>
  <si>
    <t>wheel</t>
  </si>
  <si>
    <t>n. 輪子</t>
  </si>
  <si>
    <t>The wheel of the cart was damaged.</t>
  </si>
  <si>
    <t>find out</t>
  </si>
  <si>
    <t>phr. v. 查明、發現、得知</t>
  </si>
  <si>
    <t>We need to find out what caused the problem.</t>
  </si>
  <si>
    <t>trajectory</t>
  </si>
  <si>
    <t>n. 軌跡、軌道；（比喻）發展趨勢、人生軌道</t>
  </si>
  <si>
    <t>1. The rocket’s trajectory was carefully calculated before launch. 2. Her career trajectory changed after she moved to a new company.</t>
  </si>
  <si>
    <t>dodge</t>
  </si>
  <si>
    <t>v. 閃避、躲開、逃避</t>
  </si>
  <si>
    <t>She quickly dodged the question during the interview.</t>
  </si>
  <si>
    <t>agility</t>
  </si>
  <si>
    <t>n. 敏捷、靈活性；應變能力、靈活反應能力</t>
  </si>
  <si>
    <t>1. The cat’s agility allowed it to jump easily onto the roof. 2. The company showed great agility in responding to market changes.</t>
  </si>
  <si>
    <t>parry</t>
  </si>
  <si>
    <t>v. 招架、擋開；巧妙回應、迴避</t>
  </si>
  <si>
    <t>He parried the difficult question with a joke.</t>
  </si>
  <si>
    <t>digital</t>
  </si>
  <si>
    <t>adj. 數位的、數字的；數位化的</t>
  </si>
  <si>
    <t>We live in a digital age where most information is online.</t>
  </si>
  <si>
    <t>stamina</t>
  </si>
  <si>
    <t>n. 耐力、持久力</t>
  </si>
  <si>
    <t>Running a marathon requires a lot of stamina.</t>
  </si>
  <si>
    <t>else</t>
  </si>
  <si>
    <t>adv. 其他、另外、否則</t>
  </si>
  <si>
    <t>Do you need anything else?</t>
  </si>
  <si>
    <t>drawn</t>
  </si>
  <si>
    <t>adj. 疲憊的、憔悴的</t>
  </si>
  <si>
    <t>She looked pale and drawn after staying up all night.</t>
  </si>
  <si>
    <t>qualify</t>
  </si>
  <si>
    <t>v. 合格、符合資格；使有資格</t>
  </si>
  <si>
    <t>She qualified as a nurse last year.</t>
  </si>
  <si>
    <t>qualification</t>
  </si>
  <si>
    <t>n. 資格、條件；證照</t>
  </si>
  <si>
    <t>What qualifications do you need for this job?</t>
  </si>
  <si>
    <t>sensible</t>
  </si>
  <si>
    <t>adj. 理智的、明智的、合理的</t>
  </si>
  <si>
    <t>It was a sensible decision to leave early because of the storm.</t>
  </si>
  <si>
    <t>spectacle</t>
  </si>
  <si>
    <t>n. 景象、壯觀場面；（常指引人注目的）表演或場面</t>
  </si>
  <si>
    <t>1. The fireworks created a magnificent spectacle in the night sky. 2. The parade was a colorful spectacle that attracted thousands of people.</t>
  </si>
  <si>
    <t>arise</t>
  </si>
  <si>
    <t>v. 出現、產生；發生(較正式用法)</t>
  </si>
  <si>
    <t>1. Problems may arise if the system is not properly maintained. 2. A new opportunity has arisen for her.</t>
  </si>
  <si>
    <t>tutorial</t>
  </si>
  <si>
    <t>n. 教學課程、指導課、教學影片、教材</t>
  </si>
  <si>
    <t>1. I watched an online tutorial on how to use Excel. 2. The teacher gave us a tutorial on solving math problems.</t>
  </si>
  <si>
    <t>statistic/stats</t>
  </si>
  <si>
    <t>n. 統計資料、數據；（非正式）統計數學</t>
  </si>
  <si>
    <t>1. I checked the player’s stats before the game. 2. The website shows daily traffic stats.</t>
  </si>
  <si>
    <t>substantially</t>
  </si>
  <si>
    <t>adv. 大幅地、實質上、相當地</t>
  </si>
  <si>
    <t>The price of the product has been substantially reduced.</t>
  </si>
  <si>
    <t>outcome</t>
  </si>
  <si>
    <t>n. 結果、結局、後果</t>
  </si>
  <si>
    <t>We are still waiting for the outcome of the investigation.</t>
  </si>
  <si>
    <t>mobility</t>
  </si>
  <si>
    <t>n. 移動性、行動能力；流動性</t>
  </si>
  <si>
    <t>1. Regular exercise improves mobility in older adults. 2. The company offers jobs with high mobility between departments.</t>
  </si>
  <si>
    <t>endurance</t>
  </si>
  <si>
    <t>Marathon runners need great endurance.</t>
  </si>
  <si>
    <t>wound</t>
  </si>
  <si>
    <t>n. 傷口、創傷</t>
  </si>
  <si>
    <t>The wound on his arm is still healing.</t>
  </si>
  <si>
    <t>mystery</t>
  </si>
  <si>
    <t>n. 神祕的事物、謎；懸疑事件</t>
  </si>
  <si>
    <t>1. The disappearance of the ship remains a mystery. 2. She enjoys reading mystery novels.</t>
  </si>
  <si>
    <t>merchant</t>
  </si>
  <si>
    <t>n. 商人、販賣者（較正式或古典用法）</t>
  </si>
  <si>
    <t>The merchant sold spices and silk in the market.</t>
  </si>
  <si>
    <t>relief</t>
  </si>
  <si>
    <t>n. 放鬆、解脫；緩解；救濟</t>
  </si>
  <si>
    <t>I felt a great sense of relief after finishing the exam.</t>
  </si>
  <si>
    <t>solicit</t>
  </si>
  <si>
    <t>v. 請求、懇求；招攬（生意、捐款等）</t>
  </si>
  <si>
    <t>1. The charity is soliciting donations for disaster relief. 2. He was arrested for soliciting money on the street.</t>
  </si>
  <si>
    <t>pass by</t>
  </si>
  <si>
    <t>phr. v. 經過、走過；時間流逝</t>
  </si>
  <si>
    <t>I saw her pass by the window.</t>
  </si>
  <si>
    <t>occasionally</t>
  </si>
  <si>
    <t>adv. 偶爾、有時候</t>
  </si>
  <si>
    <t>I occasionally go hiking on weekends.</t>
  </si>
  <si>
    <t>commonplace</t>
  </si>
  <si>
    <t>adj. 常見的、普通的 n. 老生常談</t>
  </si>
  <si>
    <t>1. Smartphones are now commonplace in daily life. 2. His speech was full of commonplaces.</t>
  </si>
  <si>
    <t>potion</t>
  </si>
  <si>
    <t>n. 藥水、藥劑</t>
  </si>
  <si>
    <t>The wizard gave him a healing potion.</t>
  </si>
  <si>
    <t>artifact</t>
  </si>
  <si>
    <t>n. 人工製品；文物；（數位/影像）雜訊或假象</t>
  </si>
  <si>
    <t>1. Archaeologists discovered ancient artifacts in the ruins. 2. The scan showed an artifact caused by movement.</t>
  </si>
  <si>
    <t>horn</t>
  </si>
  <si>
    <t>n. 角；喇叭；號角</t>
  </si>
  <si>
    <t>1. The bull has large sharp horns. 2. He pressed the car horn to warn the driver. 3. The hunter blew a horn to signal the others.</t>
  </si>
  <si>
    <t>acquire</t>
  </si>
  <si>
    <t>v. 獲得、取得；習得（技能、知識等）</t>
  </si>
  <si>
    <t>1. She acquired a lot of experience during her internship. 2. He acquired the company last year.</t>
  </si>
  <si>
    <t>rely</t>
  </si>
  <si>
    <t>v. 依賴、依靠</t>
  </si>
  <si>
    <t>You can rely on me.</t>
  </si>
  <si>
    <t>physical</t>
  </si>
  <si>
    <t>adj. 身體的；物理的；實體的</t>
  </si>
  <si>
    <t>1. Regular exercise improves physical health. 2. We need to consider the physical environment of the building. 3. He prefers physical books to e-books.</t>
  </si>
  <si>
    <t>certain</t>
  </si>
  <si>
    <t>adj. 確定的；某些的；特定的</t>
  </si>
  <si>
    <t>1. I am certain that he will come. 2. Certain people are more sensitive to noise. 3. There is a certain risk involved in this project.</t>
  </si>
  <si>
    <t>desired</t>
  </si>
  <si>
    <t>adj. 渴望的、期望的；想要的</t>
  </si>
  <si>
    <t>The training helped him reach his desired results.</t>
  </si>
  <si>
    <t>amount</t>
  </si>
  <si>
    <t>n. 數量、金額 v. 總計為...</t>
  </si>
  <si>
    <t>1. The amount of sugar in this drink is too high. 2. The total cost amounts to $500.</t>
  </si>
  <si>
    <t>conscience</t>
  </si>
  <si>
    <t>n. 良心、道德心</t>
  </si>
  <si>
    <t>His conscience would not allow him to lie.</t>
  </si>
  <si>
    <t>mineral</t>
  </si>
  <si>
    <t>n. 礦物 adj. 礦物的</t>
  </si>
  <si>
    <t>1. The human body needs essential minerals like calcium and iron. 2. Mineral water is often sold in bottles.</t>
  </si>
  <si>
    <t>robbery</t>
  </si>
  <si>
    <t>n. 搶劫、強盜行為</t>
  </si>
  <si>
    <t>The bank robbery happened in broad daylight.</t>
  </si>
  <si>
    <t>fine</t>
  </si>
  <si>
    <t>adj. 很好的 n. 罰款</t>
  </si>
  <si>
    <t>1. The weather is fine today. 2. He had to pay a fine for speeding.</t>
  </si>
  <si>
    <t>entertaining</t>
  </si>
  <si>
    <t>adj. 有趣的、娛樂性的、令人愉快的</t>
  </si>
  <si>
    <t>1. The movie was very entertaining from start to finish. 2. He is an entertaining speaker who keeps everyone interested.</t>
  </si>
  <si>
    <t>incredibly</t>
  </si>
  <si>
    <t>adv. 非常地、難以置信地</t>
  </si>
  <si>
    <t>The test was incredibly difficult.</t>
  </si>
  <si>
    <t>acquired</t>
  </si>
  <si>
    <t>adj. 獲得的、習得的；已取得的</t>
  </si>
  <si>
    <t>Language skills are often acquired through practice.</t>
  </si>
  <si>
    <t>refine</t>
  </si>
  <si>
    <t>v. 精煉、改善、使更精確</t>
  </si>
  <si>
    <t>1. Oil must be refined before it can be used as fuel. 2. She refined her presentation before the meeting.</t>
  </si>
  <si>
    <t>repetition</t>
  </si>
  <si>
    <t>n. 重複、反覆</t>
  </si>
  <si>
    <t>Learning a language requires a lot of repetition.</t>
  </si>
  <si>
    <t>synesthesia</t>
  </si>
  <si>
    <t>n. 聯覺、通感（感官混合的現象）</t>
  </si>
  <si>
    <t>People with synesthesia may see colors when they hear music.</t>
  </si>
  <si>
    <t>palm</t>
  </si>
  <si>
    <t>n. 手掌；棕櫚樹</t>
  </si>
  <si>
    <t>1. She held the coin in the palm of her hand. 2. Palm trees grow well in tropical areas.</t>
  </si>
  <si>
    <t>prowess</t>
  </si>
  <si>
    <t>n. 高超技巧、卓越能力（尤指戰鬥、運動或專業能力）</t>
  </si>
  <si>
    <t>The athlete is known for his physical prowess.</t>
  </si>
  <si>
    <t>practically</t>
  </si>
  <si>
    <t>adv. 幾乎、實際上；實用地</t>
  </si>
  <si>
    <t>1. The project is practically finished. 2. She thinks practically when solving problems.</t>
  </si>
  <si>
    <t>particularly</t>
  </si>
  <si>
    <t>adv. 特別地、尤其</t>
  </si>
  <si>
    <t>I particularly enjoy science fiction movies.</t>
  </si>
  <si>
    <t>partially</t>
  </si>
  <si>
    <t>adv. 部分地、不完全地</t>
  </si>
  <si>
    <t>The road was partially blocked by the fallen tree.</t>
  </si>
  <si>
    <t>perspective</t>
  </si>
  <si>
    <t>n. 觀點、看法；透視（視角）</t>
  </si>
  <si>
    <t>1. From my perspective, the plan is not practical. 2. The artist used perspective to create depth in the painting.</t>
  </si>
  <si>
    <t>vision</t>
  </si>
  <si>
    <t>n. 視力；視野；想像力；遠見</t>
  </si>
  <si>
    <t>1. She has very good vision without glasses. 2. The tall building blocked my vision of the sea. 3. The leader has a clear vision for the future.</t>
  </si>
  <si>
    <t>bring out</t>
  </si>
  <si>
    <t>phr. v. 使顯現；推出；引出；發表</t>
  </si>
  <si>
    <t>1. The lighting brings out the beauty of the painting. 2. The company will bring out a new phone next month. 3. His speech brought out strong emotions in the audience.</t>
  </si>
  <si>
    <t>outline</t>
  </si>
  <si>
    <t>n. 大綱；輪廓 v. 勾勒</t>
  </si>
  <si>
    <t>1. The teacher asked us to write an outline before the essay. 2. I could see the outline of the mountains in the fog. 3. He outlined his plan during the meeting.</t>
  </si>
  <si>
    <t>object</t>
  </si>
  <si>
    <t>n. 物體；對象；目標 v. 反對</t>
  </si>
  <si>
    <t>1. There was a strange object in the sky. 2. The object of the game is to score the most points. 3. I object to his decision.</t>
  </si>
  <si>
    <t>phenomenon</t>
  </si>
  <si>
    <t>n. 現象；奇事；傑出人物</t>
  </si>
  <si>
    <t>1. The northern lights are a natural phenomenon. 2. She is a musical phenomenon at a young age.</t>
  </si>
  <si>
    <t>quite</t>
  </si>
  <si>
    <t>adv. 相當、頗；完全地</t>
  </si>
  <si>
    <t>1. The movie was quite interesting. 2. I am quite sure about the answer.</t>
  </si>
  <si>
    <t>enough</t>
  </si>
  <si>
    <t>adv.足夠的 adj. 足夠地 pron. 充足</t>
  </si>
  <si>
    <t>1. We have enough time to finish the work. 2. She is tall enough to reach the shelf. 3. Enough is enough.</t>
  </si>
  <si>
    <t>race</t>
  </si>
  <si>
    <t>n./v. 比賽；競速</t>
  </si>
  <si>
    <t>1. He won the race easily. 2. They raced to the finish line.</t>
  </si>
  <si>
    <t>seriously</t>
  </si>
  <si>
    <t>adv. 認真地；嚴肅地；非常地</t>
  </si>
  <si>
    <t>1. You need to take this matter seriously. 2. It is seriously cold today.</t>
  </si>
  <si>
    <t>pace</t>
  </si>
  <si>
    <t>n. 步調；速度 v. 步伐；來回踱步</t>
  </si>
  <si>
    <t>1. The runner kept a steady pace throughout the race. 2. He paced back and forth while waiting for the results.</t>
  </si>
  <si>
    <t xml:space="preserve">go up </t>
  </si>
  <si>
    <t>phr. v. 上升、增加、漲價</t>
  </si>
  <si>
    <t>1. The balloon has gone up into the sky. 2. Prices have gone up this year. 3. The number of students has gone up.</t>
  </si>
  <si>
    <t>copper</t>
  </si>
  <si>
    <t>n. 銅；銅幣</t>
  </si>
  <si>
    <t>Copper is widely used in electrical wires.</t>
  </si>
  <si>
    <t>scarecrow</t>
  </si>
  <si>
    <t xml:space="preserve">n. 稻草人 </t>
  </si>
  <si>
    <t>The farmer placed a scarecrow in the field to protect the crops.</t>
  </si>
  <si>
    <t>imitate</t>
  </si>
  <si>
    <t>v. 模仿、仿效</t>
  </si>
  <si>
    <t>He often imitates his teacher’s voice.</t>
  </si>
  <si>
    <t>movement</t>
  </si>
  <si>
    <t>n. 移動；運動；動作；（社會）運動</t>
  </si>
  <si>
    <t>1. The movement of the robot is very smooth. 2. The movement of the train was slow at first. 3. The environmental movement has grown worldwide.</t>
  </si>
  <si>
    <t>exactly</t>
  </si>
  <si>
    <t>adv. 確切地；精確地；完全正確；正是如此</t>
  </si>
  <si>
    <t>1. This is exactly what I needed. 2. The timing was exactly right. 3. “So you think we should leave?” — “Exactly.”</t>
  </si>
  <si>
    <t>tied</t>
  </si>
  <si>
    <t>adj. 綁住的；打成平手的；被束縛的</t>
  </si>
  <si>
    <t>1. The two teams tied in the final game. 2. He is tied to his job and cannot travel.</t>
  </si>
  <si>
    <t>tie</t>
  </si>
  <si>
    <t>v. 綁住、繫上</t>
  </si>
  <si>
    <t>She tied her shoes before going out.</t>
  </si>
  <si>
    <t>breakthrough</t>
  </si>
  <si>
    <t>n. 突破；重大進展；關鍵性發現</t>
  </si>
  <si>
    <t>Scientists made a major breakthrough in cancer treatment.</t>
  </si>
  <si>
    <t>stab</t>
  </si>
  <si>
    <t>v. 刺、戳 n. 一刺；突然劇痛；(比喻)嘗試</t>
  </si>
  <si>
    <t>1. He stabbed the meat with a fork. 2. She felt a sharp stab of pain in her chest. 3. He took a stab at answering the question.</t>
  </si>
  <si>
    <t>activate</t>
  </si>
  <si>
    <t>v. 啟動、激活；使開始運作；使活化</t>
  </si>
  <si>
    <t xml:space="preserve">1. You need to activate the software before using it. 2. Heat can activate certain enzymes. </t>
  </si>
  <si>
    <t>sense</t>
  </si>
  <si>
    <t>n. 感覺；意識；判斷力；理解 v. 感覺到</t>
  </si>
  <si>
    <t xml:space="preserve">1. He has a good sense of hearing. 2. She has no sense of danger. 3. I sensed that something was wrong. </t>
  </si>
  <si>
    <t>make sence</t>
  </si>
  <si>
    <t>phr. v. 有道理；合理；說得通</t>
  </si>
  <si>
    <t>1. Your explanation makes sense. 2. It doesn’t make sense to leave now.</t>
  </si>
  <si>
    <t>sensor</t>
  </si>
  <si>
    <t>n. 感測器、傳感器</t>
  </si>
  <si>
    <t>The phone has a fingerprint sensor for security.</t>
  </si>
  <si>
    <t>aim</t>
  </si>
  <si>
    <t>n. 目標；目的 v. 瞄準；致力於，以...為目標</t>
  </si>
  <si>
    <t>1. My aim is to improve my English. 2. He aimed the arrow at the target.</t>
  </si>
  <si>
    <t>nonsense</t>
  </si>
  <si>
    <t>n. 胡說八道；荒謬的事；無意義的話</t>
  </si>
  <si>
    <t>Don’t believe that nonsense on the internet.</t>
  </si>
  <si>
    <t>stomach</t>
  </si>
  <si>
    <t>n. 胃；肚子 v. 忍受</t>
  </si>
  <si>
    <t>1. My stomach hurts after eating too much. 2. I can’t stomach that kind of behavior.</t>
  </si>
  <si>
    <t>descend</t>
  </si>
  <si>
    <t>v. 下降；下來；遺傳自；突然降臨</t>
  </si>
  <si>
    <t>1. The airplane began to descend slowly. 2. She carefully descended the stairs. 3. He is descended from a royal family. 4. Silence descended over the room.</t>
  </si>
  <si>
    <t>bulky</t>
  </si>
  <si>
    <t>adj. 體積大的、笨重的、佔空間的</t>
  </si>
  <si>
    <t>He carried a bulky backpack during the trip.</t>
  </si>
  <si>
    <t>nine out of ten</t>
  </si>
  <si>
    <t>phr. 十之八九；十分之九；大多數情況下</t>
  </si>
  <si>
    <t>1. Nine out of ten students passed the exam. 2. Nine out of ten times, he arrives early.</t>
  </si>
  <si>
    <t>lean</t>
  </si>
  <si>
    <t>v. 傾斜；倚靠 adj. 瘦的；精簡的</t>
  </si>
  <si>
    <t>1. He leaned against the wall and waited. 2. He has a lean body from regular exercise. 3. The company operates with a lean management style.</t>
  </si>
  <si>
    <t>crumble</t>
  </si>
  <si>
    <t>v. 崩裂；瓦解；崩潰；弄碎 n. 碎屑</t>
  </si>
  <si>
    <t>1. The old wall began to crumble after the earthquake. 2. She crumbled the bread into small pieces. 3. Apple crumble is a popular dessert</t>
  </si>
  <si>
    <t>browse</t>
  </si>
  <si>
    <t>v. 瀏覽、隨意查看、逛</t>
  </si>
  <si>
    <t>She was browsing the internet for travel information.</t>
  </si>
  <si>
    <t>end up</t>
  </si>
  <si>
    <t>phr. v. 最終變成；結果是；到頭來</t>
  </si>
  <si>
    <t>1. He studied engineering but ended up becoming a teacher. 2. If you don’t leave now, you may end up missing the train.</t>
  </si>
  <si>
    <t>just</t>
  </si>
  <si>
    <t>adv.剛剛；只是；正好 adj. 公平的</t>
  </si>
  <si>
    <t xml:space="preserve">1. I just finished my homework. 2. It’s just a joke. 3.This shirt is just right for you. 4. The judge made a just decision. </t>
  </si>
  <si>
    <t>silly</t>
  </si>
  <si>
    <t>adj. 愚蠢的、傻的；滑稽的、幼稚的</t>
  </si>
  <si>
    <t>1. That was a silly mistake. 2. We were being silly and laughing all night.</t>
  </si>
  <si>
    <t>cramp</t>
  </si>
  <si>
    <t>n. 抽筋、痙攣 v. 束縛、限制</t>
  </si>
  <si>
    <t>1. I got a cramp in my leg while swimming. 2. The small desk cramps my movement.</t>
  </si>
  <si>
    <t>space out</t>
  </si>
  <si>
    <t>phr. v. 發呆、走神、恍神</t>
  </si>
  <si>
    <t>I was spacing out during the lecture.</t>
  </si>
  <si>
    <t>pervert</t>
  </si>
  <si>
    <t>n. 變態的人 v. 使墮落；扭曲（原意）</t>
  </si>
  <si>
    <t>1. He was accused of being a pervert. 2. Power can pervert people’s judgment.</t>
  </si>
  <si>
    <t>ogle</t>
  </si>
  <si>
    <t>v. (通常為不禮貌的) 注視；色瞇瞇地看</t>
  </si>
  <si>
    <t>I caught him ogling the woman in the red dress.</t>
  </si>
  <si>
    <t>urge</t>
  </si>
  <si>
    <t>v. 催促；力勸 n. 強烈慾望</t>
  </si>
  <si>
    <t>1. I urged him to see a doctor. 2. I had an urge to eat chocolate.</t>
  </si>
  <si>
    <t>scold</t>
  </si>
  <si>
    <t>v. 責罵、訓斥</t>
  </si>
  <si>
    <t>The teacher scolded the student for being late.</t>
  </si>
  <si>
    <t>peckish</t>
  </si>
  <si>
    <t>adj. (英式口語）有點餓、微餓</t>
  </si>
  <si>
    <t>I’m feeling a bit peckish.</t>
  </si>
  <si>
    <t>step away</t>
  </si>
  <si>
    <t>phr. v. 走開、離開；暫時抽身；退出</t>
  </si>
  <si>
    <t>1. He stepped away from the desk to answer the phone. 2. Please step away from the machine.</t>
  </si>
  <si>
    <t>though</t>
  </si>
  <si>
    <t>conj. 雖然、儘管 adv. 不過、然而</t>
  </si>
  <si>
    <t>1. Though it was raining, we went out. 2. I like him. He is a bit strict, though.</t>
  </si>
  <si>
    <t>disperse</t>
  </si>
  <si>
    <t>v. 分散、散開（人群、物體)；驅散</t>
  </si>
  <si>
    <t xml:space="preserve">1. The seeds were dispersed by the wind. 2. The crowd was dispersed by the police. </t>
  </si>
  <si>
    <t>hesitant</t>
  </si>
  <si>
    <t>adj. 猶豫的、遲疑的、不確定的</t>
  </si>
  <si>
    <t>She was hesitant to speak in front of the class.</t>
  </si>
  <si>
    <t>spot</t>
  </si>
  <si>
    <t>n. 斑點；地點 v. 發現；看見</t>
  </si>
  <si>
    <t>1. There is a spot on your shirt. 2. This is a good spot to watch the sunset. 3. I spotted my friend in the crowd.</t>
  </si>
  <si>
    <t>thoughtful</t>
  </si>
  <si>
    <t>adj. 體貼的；深思的；考慮周到的</t>
  </si>
  <si>
    <t>1. It was thoughtful of him to bring me a drink. 2. She sat in a thoughtful mood, staring out the window.</t>
  </si>
  <si>
    <t>discreetly</t>
  </si>
  <si>
    <t>adv. 謹慎地；小心地；低調地；不引人注意地</t>
  </si>
  <si>
    <t>He discreetly left the room during the meeting.</t>
  </si>
  <si>
    <t>fierce</t>
  </si>
  <si>
    <t>adj. 凶猛的；激烈的；強烈的</t>
  </si>
  <si>
    <t>1. The tiger is a fierce predator. 2. There was fierce competition for the job.</t>
  </si>
  <si>
    <t>dispute</t>
  </si>
  <si>
    <t>n. 爭議、糾紛 v. 爭論、爭執</t>
  </si>
  <si>
    <t>1. There is a dispute over land ownership. 2. I don’t dispute your point, but I have another opinion.</t>
  </si>
  <si>
    <t>as part of</t>
  </si>
  <si>
    <t>phr. 作為……的一部分；作為……的一環</t>
  </si>
  <si>
    <t>He joined the project as part of a team.</t>
  </si>
  <si>
    <t>stake</t>
  </si>
  <si>
    <t>n. 利害關係；賭注；樁 v. 支持（投資）</t>
  </si>
  <si>
    <t>1. He has a stake in the company. 2. The stake was very high in the game. 3. They drove a stake into the ground. 4. He staked all his money on the business.</t>
  </si>
  <si>
    <t>drastic</t>
  </si>
  <si>
    <t>adj. 劇烈的、激烈的；極端的</t>
  </si>
  <si>
    <t>The company made drastic changes to its policy.</t>
  </si>
  <si>
    <t>scale</t>
  </si>
  <si>
    <t>n. 規模；比例；刻度；鱗片 v. 攀爬；擴大</t>
  </si>
  <si>
    <t>1. The project was expanded on a large scale. 2. The map is drawn to scale. 3. The fish has shiny scales. 4. They scaled the mountain last year.</t>
  </si>
  <si>
    <t>violence</t>
  </si>
  <si>
    <t>n. 暴力；猛烈；激烈</t>
  </si>
  <si>
    <t>1. The government is trying to reduce violence in the city. 2. The storm hit with great violence.</t>
  </si>
  <si>
    <t>resort</t>
  </si>
  <si>
    <t>n. 度假村 ；(不得已的）手段 v. 求助於</t>
  </si>
  <si>
    <t>1. We stayed at a beach resort during the holiday. 2. Violence should be a last resort. 3. He resorted to lying to avoid trouble.</t>
  </si>
  <si>
    <t>flirt</t>
  </si>
  <si>
    <t>v. 調情；輕浮地示好 n. 開玩笑式曖昧</t>
  </si>
  <si>
    <t>1. They were flirting at the party. 2. She accused him of flirting with other girls.</t>
  </si>
  <si>
    <t>slightly</t>
  </si>
  <si>
    <t>adv. 稍微地、輕微地；一點點</t>
  </si>
  <si>
    <t>The room is slightly cold.</t>
  </si>
  <si>
    <t>enlighten</t>
  </si>
  <si>
    <t>v. 啟發、使了解、使開悟</t>
  </si>
  <si>
    <t>Could you enlighten me about this topic?</t>
  </si>
  <si>
    <t>exhaustion</t>
  </si>
  <si>
    <t>n. 疲憊、筋疲力盡；耗盡</t>
  </si>
  <si>
    <t>1. After working 12 hours, he was close to exhaustion. 2. The exhaustion of resources is a serious problem.</t>
  </si>
  <si>
    <t>regret</t>
  </si>
  <si>
    <t>v./n. 後悔；遺憾</t>
  </si>
  <si>
    <t>1. I regret not studying harder. 2. He expressed regret for what he said.</t>
  </si>
  <si>
    <t>affection</t>
  </si>
  <si>
    <t>n. 喜愛；愛慕；感情</t>
  </si>
  <si>
    <t>1. She has deep affection for her family. 2. The child showed affection for the puppy.</t>
  </si>
  <si>
    <t>deserved</t>
  </si>
  <si>
    <t>adj. 應得的；理所當然的</t>
  </si>
  <si>
    <t>He got a well-deserved rest after the trip.</t>
  </si>
  <si>
    <t>deserv</t>
  </si>
  <si>
    <t>v. 理應、應該</t>
  </si>
  <si>
    <t>He deserved the award.</t>
  </si>
  <si>
    <t>tumble</t>
  </si>
  <si>
    <t>v. 跌倒；翻滾；突然下降；崩落 n. 跌倒；翻滾</t>
  </si>
  <si>
    <t>1. He tripped and tumbled down the stairs. 2. Stock prices tumbled after the news. 3. She took a tumble while skiing.</t>
  </si>
  <si>
    <t>immersed</t>
  </si>
  <si>
    <t>adj. 沉浸的；專心投入的；浸入的</t>
  </si>
  <si>
    <t>She was completely immersed in her work.</t>
  </si>
  <si>
    <t>immerse</t>
  </si>
  <si>
    <t>v. 沉浸；浸泡</t>
  </si>
  <si>
    <t>The plant is immersed in water for testing.</t>
  </si>
  <si>
    <t>befitting</t>
  </si>
  <si>
    <t>adj. 相稱的；適當的</t>
  </si>
  <si>
    <t>She received a ceremony befitting a queen.</t>
  </si>
  <si>
    <t>greasy</t>
  </si>
  <si>
    <t>adj. 油膩的；油污的；(人) 狡猾的、油滑的</t>
  </si>
  <si>
    <t>1. The fries were too greasy. 2. He gave a greasy smile.</t>
  </si>
  <si>
    <t>bloated</t>
  </si>
  <si>
    <t>adj. 腫脹的、臃腫的；膨脹的</t>
  </si>
  <si>
    <t>1. My stomach feels bloated after eating too much. 2. The company has a bloated structure.</t>
  </si>
  <si>
    <t>contest</t>
  </si>
  <si>
    <t>n. 比賽、競賽 v.爭奪；質疑</t>
  </si>
  <si>
    <t>1. She won the singing contest. 2. Several candidates are contesting the election. 3. He contested the results of the exam.</t>
  </si>
  <si>
    <t>aside</t>
  </si>
  <si>
    <t>adv. 在一旁；暫時離開主題 n. 旁白</t>
  </si>
  <si>
    <t>1. He stepped aside to let her pass. 2. Putting jokes aside, this is a serious issue. 3. He spoke an aside during the play.</t>
  </si>
  <si>
    <t>tease</t>
  </si>
  <si>
    <t>v. 戲弄、取笑 (開玩笑)；挑逗 (讓人期待) n. 愛開玩笑的人；戲弄行為</t>
  </si>
  <si>
    <t>1. They always tease him about his haircut. 2. The trailer teases the ending of the movie. 3. He’s just a friendly tease.</t>
  </si>
  <si>
    <t>intention</t>
  </si>
  <si>
    <t>n. 意圖、目的、打算</t>
  </si>
  <si>
    <t>1. His intention is to start his own business. 2. She had no intention of lying.</t>
  </si>
  <si>
    <t>assumption</t>
  </si>
  <si>
    <t>n. 假設；臆測；假定；擅自認定</t>
  </si>
  <si>
    <t>1. His argument is based on several assumptions. 2. You are making an assumption without evidence.</t>
  </si>
  <si>
    <t>tightly</t>
  </si>
  <si>
    <t>adv. 緊緊地、牢固地；嚴密地</t>
  </si>
  <si>
    <t>1. She held the bag tightly. 2. The lid is tightly closed.</t>
  </si>
  <si>
    <t>emphasize</t>
  </si>
  <si>
    <t>v. 強調；著重；突顯</t>
  </si>
  <si>
    <t>The teacher emphasized the importance of practice.</t>
  </si>
  <si>
    <t>grateful</t>
  </si>
  <si>
    <t>adj. 感激的；感謝的</t>
  </si>
  <si>
    <t>I am very grateful for your help.</t>
  </si>
  <si>
    <t>decline</t>
  </si>
  <si>
    <t>v./n. 下降；衰退；拒絕</t>
  </si>
  <si>
    <t>1. Sales have declined this year. 2. His health is declining. 3. She declined the invitation. 4. There has been a decline in population.</t>
  </si>
  <si>
    <t>plane</t>
  </si>
  <si>
    <t>n. 飛機；平面；刨子 (工具)</t>
  </si>
  <si>
    <t>1. The plane landed safely. 2. Two lines lie on the same plane. 3. He used a plane to smooth the wood.</t>
  </si>
  <si>
    <t>just in case</t>
  </si>
  <si>
    <t>phr. 以防萬一；萬一發生</t>
  </si>
  <si>
    <t>I brought an umbrella just in case it rains.</t>
  </si>
  <si>
    <t>apparently</t>
  </si>
  <si>
    <t>adv. 顯然；據說；看起來；似乎</t>
  </si>
  <si>
    <t>1. Apparently, he didn’t know about the meeting. 2. She is apparently very busy these days.</t>
  </si>
  <si>
    <t>mere</t>
  </si>
  <si>
    <t>adj. 僅僅的、只不過的；微不足道的</t>
  </si>
  <si>
    <t>1. It was a mere coincidence. 2. The problem is a mere misunderstanding.</t>
  </si>
  <si>
    <t>exclusive</t>
  </si>
  <si>
    <t>adj. 獨家的；排他的；高級的；不包括其他人的</t>
  </si>
  <si>
    <t>1. This is an exclusive interview with the actor. 2. The club is very exclusive.</t>
  </si>
  <si>
    <t>withstand</t>
  </si>
  <si>
    <t>v. 承受；抵抗；經得起；頂住</t>
  </si>
  <si>
    <t xml:space="preserve">The bridge can withstand strong winds. </t>
  </si>
  <si>
    <t>enthusiasm</t>
  </si>
  <si>
    <t>n. 熱情、熱忱；積極性</t>
  </si>
  <si>
    <t>She shows great enthusiasm for learning English.</t>
  </si>
  <si>
    <t>reaffirm</t>
  </si>
  <si>
    <t>v. 再次確認；重申；再次肯定</t>
  </si>
  <si>
    <t>1. The company reaffirmed its commitment to safety. 2. She reaffirmed her decision to study abroad.</t>
  </si>
  <si>
    <t>go ahead</t>
  </si>
  <si>
    <t>phr. v. 進行吧；開始吧；請便；前進</t>
  </si>
  <si>
    <t>1. “Can I start the project?” — “Go ahead.” 2. Go ahead and take a seat. 3. You go ahead, I’ll catch up later.</t>
  </si>
  <si>
    <t>fuss</t>
  </si>
  <si>
    <t>n. 大驚小怪、小題大作 v. 過度操心；忙亂</t>
  </si>
  <si>
    <t>1. There’s no need to make a fuss.2. She fussed about the details all day.</t>
  </si>
  <si>
    <t>incident</t>
  </si>
  <si>
    <t>n. 事件、事故；(尤指不愉快或意外的) 事件</t>
  </si>
  <si>
    <t>There was an incident at school yesterday.</t>
  </si>
  <si>
    <t>investigation</t>
  </si>
  <si>
    <t>n. 調查；研究；審查</t>
  </si>
  <si>
    <t>1. The police launched an investigation into the crime. 2. The investigation of the problem took several months.</t>
  </si>
  <si>
    <t>unintentionally</t>
  </si>
  <si>
    <t>adv. 無意地、非故意地、不小心地</t>
  </si>
  <si>
    <t>He unintentionally hurt her feelings.</t>
  </si>
  <si>
    <t>endure</t>
  </si>
  <si>
    <t>v. 忍受；持續；經得起</t>
  </si>
  <si>
    <t>1. She endured years of hardship. 2. The pain endured for several days. 3. The bridge has endured many storms.</t>
  </si>
  <si>
    <t>extent</t>
  </si>
  <si>
    <t>n. 程度；範圍；大小</t>
  </si>
  <si>
    <t>1. To what extent do you agree? 2. The extent of the problem is still unclear.</t>
  </si>
  <si>
    <t>envision</t>
  </si>
  <si>
    <t>v. 想像；設想；構想</t>
  </si>
  <si>
    <t>She is envisioning a better future for her children.</t>
  </si>
  <si>
    <t>wary</t>
  </si>
  <si>
    <t>adj. 謹慎的、警惕的、小心提防的</t>
  </si>
  <si>
    <t>Be wary of strangers online.</t>
  </si>
  <si>
    <t>press conference</t>
  </si>
  <si>
    <t>n. 記者會；新聞發布會</t>
  </si>
  <si>
    <t>The company held a press conference to announce the new product.</t>
  </si>
  <si>
    <t>cash register</t>
  </si>
  <si>
    <t>n. 收銀機</t>
  </si>
  <si>
    <t>The cashier opened the cash register.</t>
  </si>
  <si>
    <t>catering company</t>
  </si>
  <si>
    <t>n. 外燴公司；餐飲承包公司</t>
  </si>
  <si>
    <t>We hired a catering company for the wedding.</t>
  </si>
  <si>
    <t>maintenance team</t>
  </si>
  <si>
    <t>n. 維修團隊；維護團隊</t>
  </si>
  <si>
    <t>The maintenance team fixed the machine quickly.</t>
  </si>
  <si>
    <t>workout plan</t>
  </si>
  <si>
    <t>n. 健身計畫；運動訓練計畫</t>
  </si>
  <si>
    <t>My trainer made a workout plan for me.</t>
  </si>
  <si>
    <t>fabric</t>
  </si>
  <si>
    <t>n. 布料</t>
  </si>
  <si>
    <t>She bought a piece of fabric to make a dress.</t>
  </si>
  <si>
    <t>art gallery</t>
  </si>
  <si>
    <t>n. 美術館；畫廊</t>
  </si>
  <si>
    <t>We visited an art gallery downtown.</t>
  </si>
  <si>
    <t>community fair</t>
  </si>
  <si>
    <t>n. 社區園遊會；社區博覽會</t>
  </si>
  <si>
    <t>The community fair had food, games, and live music.</t>
  </si>
  <si>
    <t>trade show</t>
  </si>
  <si>
    <t>n. 商展；產業展覽會</t>
  </si>
  <si>
    <t>Many companies introduced new products at the trade show.</t>
  </si>
  <si>
    <t>panel discussion</t>
  </si>
  <si>
    <t>n. 座談會；專家小組討論</t>
  </si>
  <si>
    <t>The conference included a panel discussion on climate change.</t>
  </si>
  <si>
    <t>certificate</t>
  </si>
  <si>
    <t>n. 證書；證照</t>
  </si>
  <si>
    <t>He received a course certificate after finishing the online class.</t>
  </si>
  <si>
    <t>vender</t>
  </si>
  <si>
    <t>n. 攤販；供應商；銷售商</t>
  </si>
  <si>
    <t>1. A street vendor sells snacks in the night market. 2. The company works with several software vendors.</t>
  </si>
  <si>
    <t>assembly plant</t>
  </si>
  <si>
    <t>n. 組裝工廠；裝配廠</t>
  </si>
  <si>
    <t>The cars are built in an assembly plant.</t>
  </si>
  <si>
    <t>break room</t>
  </si>
  <si>
    <t>n. 休息室</t>
  </si>
  <si>
    <t>Employees can eat lunch in the employee break room.</t>
  </si>
  <si>
    <t>advertising campaign</t>
  </si>
  <si>
    <t>n. 廣告活動；廣告宣傳計畫</t>
  </si>
  <si>
    <t>The company launched a new advertising campaign.</t>
  </si>
  <si>
    <t>incentive</t>
  </si>
  <si>
    <t>n. 獎勵；激勵；誘因</t>
  </si>
  <si>
    <t>The company offers financial incentives for good performance.</t>
  </si>
  <si>
    <t>travel receipts</t>
  </si>
  <si>
    <t>n. 旅費收據；出差收據</t>
  </si>
  <si>
    <t>Please keep all your travel receipts for reimbursement.</t>
  </si>
  <si>
    <t>identification badges</t>
  </si>
  <si>
    <t>n. 識別證；員工證；身份識別徽章</t>
  </si>
  <si>
    <t>All employees must wear identification badges at work.</t>
  </si>
  <si>
    <t>manufacturing</t>
  </si>
  <si>
    <t>adj. 製造的、生產的</t>
  </si>
  <si>
    <t>a manufacturing plant</t>
  </si>
  <si>
    <t>demonstration</t>
  </si>
  <si>
    <t>n. 示範；展示；示威（遊行）</t>
  </si>
  <si>
    <t>The teacher gave a demonstration of the experiment.</t>
  </si>
  <si>
    <t>helmet</t>
  </si>
  <si>
    <t>n. 頭盔；安全帽</t>
  </si>
  <si>
    <t>You must wear a helmet when riding a motorcycle.</t>
  </si>
  <si>
    <t>construct</t>
  </si>
  <si>
    <t>v. 建造；構築；組成；建構</t>
  </si>
  <si>
    <t>1. They are constructing a new bridge. 2. The theory was constructed from years of research. 3. He constructed a clear argument.</t>
  </si>
  <si>
    <t>push a cart</t>
  </si>
  <si>
    <t>phr. 推推車；推手推車</t>
  </si>
  <si>
    <t>She is pushing a cart in the supermarket.</t>
  </si>
  <si>
    <t>cabinet</t>
  </si>
  <si>
    <t>n. 櫥櫃；內閣；機櫃</t>
  </si>
  <si>
    <t>1. She put the dishes in the kitchen cabinet. 2. The president announced changes to the cabinet. 3. The server is stored in a cabinet.</t>
  </si>
  <si>
    <t>process</t>
  </si>
  <si>
    <t>n./v. 過程；流程；處理；加工</t>
  </si>
  <si>
    <t>1. Learning a language is a long process. 2. The system processes the data automatically. 3. The factory processes food for export.</t>
  </si>
  <si>
    <t>launch</t>
  </si>
  <si>
    <t>v./n. 發射；推出；啟動；開展</t>
  </si>
  <si>
    <t>1. The rocket was launched into space. 2. The company launched a new smartphone. 3. They launched a new project last month. 4. The product launch was successful.</t>
  </si>
  <si>
    <t>initiative</t>
  </si>
  <si>
    <t>n. 主動性；倡議；新計畫；主動行動</t>
  </si>
  <si>
    <t>1. She showed great initiative at work. 2. The government launched a new initiative to reduce pollution. 3. He took the initiative to solve the problem.</t>
  </si>
  <si>
    <t>enclose</t>
  </si>
  <si>
    <t>v. 隨函附上；包圍；圍住；圈起來</t>
  </si>
  <si>
    <t>1. I enclose a copy of my resume. 2. The garden is enclosed by a fence.</t>
  </si>
  <si>
    <t>inspection</t>
  </si>
  <si>
    <t>n. 檢查；視察；審查</t>
  </si>
  <si>
    <t>1. The car passed inspection. 2. The manager made an inspection of the factory.</t>
  </si>
  <si>
    <t>inventory</t>
  </si>
  <si>
    <t>n. 庫存；存貨；清單；盤點</t>
  </si>
  <si>
    <t>1. The store keeps a large inventory of products. 2. We made an inventory of all the equipment. 3. The company conducts an annual inventory.</t>
  </si>
  <si>
    <t>serve</t>
  </si>
  <si>
    <t>v. 服務；提供；供應；服役；發球</t>
  </si>
  <si>
    <t>1. The waiter served the customers quickly. 2. They served dinner at 7 p.m. 3. He served in the army for five years. 4. She served the ball well.</t>
  </si>
  <si>
    <t>refreshment</t>
  </si>
  <si>
    <t>n. 茶點；點心；提神；恢復精神</t>
  </si>
  <si>
    <t>1. Light refreshments were served after the meeting. 2. A short walk gave me some refreshment.</t>
  </si>
  <si>
    <t>distribute</t>
  </si>
  <si>
    <t>v. 分發；分配；散佈；配送</t>
  </si>
  <si>
    <t>1. The teacher distributed the worksheets to the students. 2. The species is widely distributed across Asia. 3. The company distributes products worldwide.</t>
  </si>
  <si>
    <t>estimate</t>
  </si>
  <si>
    <t>v./n. 估計；估算；預估</t>
  </si>
  <si>
    <t>1. We estimate the cost at $500. 2. The repair estimate is too high.</t>
  </si>
  <si>
    <t>application</t>
  </si>
  <si>
    <t>n. 應用；申請；申請書；應用程式</t>
  </si>
  <si>
    <t xml:space="preserve">1. I submitted my job application yesterday. 2. This theory has many practical applications. 3. I downloaded a new application on my phone. </t>
  </si>
  <si>
    <t>implement</t>
  </si>
  <si>
    <t>v./n. 實施；執行</t>
  </si>
  <si>
    <t>1. The company will implement the new policy next month. 2. We need to implement this plan immediately.</t>
  </si>
  <si>
    <t>measure</t>
  </si>
  <si>
    <t>n./v. 測量；衡量；措施；尺寸</t>
  </si>
  <si>
    <t>1. We measured the length of the table. 2. It is hard to measure success. 3. The government introduced new safety measures. 4. The tailor took my measurements.</t>
  </si>
  <si>
    <t>warranty</t>
  </si>
  <si>
    <t>n. 保固；保證；保固書</t>
  </si>
  <si>
    <t>1. The phone comes with a one-year warranty. 2. There is no warranty that the plan will succeed.</t>
  </si>
  <si>
    <t>agricultural</t>
  </si>
  <si>
    <t xml:space="preserve">adj. 農業的；農用的 </t>
  </si>
  <si>
    <t>1. The country has a strong agricultural industry. 2. Agricultural land is used for growing crops.</t>
  </si>
  <si>
    <t>purpose</t>
  </si>
  <si>
    <t>n. 目的；意圖；用途</t>
  </si>
  <si>
    <t>1. What is the purpose of this meeting? 2. This tool serves a useful purpose.</t>
  </si>
  <si>
    <t>merge</t>
  </si>
  <si>
    <t>v. 合併；融合；並入</t>
  </si>
  <si>
    <t>1. The two companies will merge next year. 2. The colors merge into one another.</t>
  </si>
  <si>
    <t>fund-raiser</t>
  </si>
  <si>
    <t>n. 募款活動</t>
  </si>
  <si>
    <t>The school held a fund-raiser for charity.</t>
  </si>
  <si>
    <t>postpone</t>
  </si>
  <si>
    <t>v. 延期；推遲；延後</t>
  </si>
  <si>
    <t>The meeting was postponed until next week.</t>
  </si>
  <si>
    <t>waterfront</t>
  </si>
  <si>
    <t>n. 海濱；河岸；水邊地區</t>
  </si>
  <si>
    <t>The hotel is located on the waterfront.</t>
  </si>
  <si>
    <t>document</t>
  </si>
  <si>
    <t>n. 文件、證件、文檔 v. 記錄、紀錄</t>
  </si>
  <si>
    <t>1. Please bring your identification documents. 2. The researcher documented the results carefully.</t>
  </si>
  <si>
    <t>fold</t>
  </si>
  <si>
    <t>v. 摺疊、對摺 n. 摺痕、折疊處</t>
  </si>
  <si>
    <t>1. She folded the paper in half. 2. There is a fold in the fabric.</t>
  </si>
  <si>
    <t>manuscript</t>
  </si>
  <si>
    <t>n. 手稿；原稿；稿件</t>
  </si>
  <si>
    <t>She sent her manuscript to a publisher.</t>
  </si>
  <si>
    <t>access</t>
  </si>
  <si>
    <t>n. 使用權、進入權 v. 存取、取得；進入</t>
  </si>
  <si>
    <t>1. Only staff members have access to this room. 2. You can access the files online.</t>
  </si>
  <si>
    <t>discard</t>
  </si>
  <si>
    <t>v. 丟棄、拋棄 n. 廢棄物</t>
  </si>
  <si>
    <t>1. Please discard the broken items. 2. They discarded the original plan. 3. The pile of discards was growing.</t>
  </si>
  <si>
    <t>duplicate</t>
  </si>
  <si>
    <t>v. 複製、複印 n. 副本、複製品 adj. 重複的、一模一樣的</t>
  </si>
  <si>
    <t>1. Please duplicate this document. 2. Keep a duplicate of the contract. 3. There are duplicate files on the computer.</t>
  </si>
  <si>
    <t>file</t>
  </si>
  <si>
    <t>n. 檔案、文件 v. 歸檔；提交</t>
  </si>
  <si>
    <t>1. I saved the file on my desktop. 2. She filed the documents alphabetically. 3. He filed a complaint with the company.</t>
  </si>
  <si>
    <t>administrative</t>
  </si>
  <si>
    <t>adj. 行政的；管理的；行政上的</t>
  </si>
  <si>
    <t>She works in an administrative position.</t>
  </si>
  <si>
    <t>analyze</t>
  </si>
  <si>
    <t>v. 分析、解析、細究</t>
  </si>
  <si>
    <t>The scientist analyzed the data carefully.</t>
  </si>
  <si>
    <t>clerical</t>
  </si>
  <si>
    <t>adj. 文書的、辦公室的、行政文書工作的</t>
  </si>
  <si>
    <t>1. She does clerical work in a hospital. 2. Clerical staff handle filing and data entry.</t>
  </si>
  <si>
    <t>draft</t>
  </si>
  <si>
    <t>n. 草稿、初稿 v. 起草、草擬 adj. 草擬的、初步的</t>
  </si>
  <si>
    <t>1. I wrote the first draft of my report. 2. She drafted a proposal for the project. 3. a draft version of the document.</t>
  </si>
  <si>
    <t>finalize</t>
  </si>
  <si>
    <t>v. 完成、定案、敲定、使最終確定</t>
  </si>
  <si>
    <t>We need to finalize the report by Friday.</t>
  </si>
  <si>
    <t>paperwork</t>
  </si>
  <si>
    <t>n. 文書工作；行政文件</t>
  </si>
  <si>
    <t>I spent the whole afternoon doing paperwork.</t>
  </si>
  <si>
    <t>revise</t>
  </si>
  <si>
    <t>v. 修改、修訂、復習(英式用法)</t>
  </si>
  <si>
    <t>1. I need to revise my essay. 2. She is revising for the exam.</t>
  </si>
  <si>
    <t>tight</t>
  </si>
  <si>
    <t>adj. 緊的、緊密的；緊張的；緊湊的</t>
  </si>
  <si>
    <t>1. These shoes are too tight. 2. The crowd was very tight.3. We have a tight schedule.</t>
  </si>
  <si>
    <t>timely</t>
  </si>
  <si>
    <t>adj. 適時的、及時的、恰當時機的</t>
  </si>
  <si>
    <t>The timely warning helped prevent an accident.</t>
  </si>
  <si>
    <t>attachment</t>
  </si>
  <si>
    <t>n. 附件；附屬物；依附；感情依戀</t>
  </si>
  <si>
    <t>1. Please see the attachment for details. 2. This vacuum cleaner comes with several attachments. 3. She has a strong attachment to her hometown.</t>
  </si>
  <si>
    <t>attentive</t>
  </si>
  <si>
    <t>adj. 注意的、專心的；體貼的</t>
  </si>
  <si>
    <t>1. The students were very attentive in class. 2. He is an attentive waiter.</t>
  </si>
  <si>
    <t>concerning</t>
  </si>
  <si>
    <t>conj. 關於；涉及 adj. 令人擔心的</t>
  </si>
  <si>
    <t>1. We had a meeting concerning the project. 2. There is some concerning news about the economy.</t>
  </si>
  <si>
    <t>reschedule</t>
  </si>
  <si>
    <t xml:space="preserve">v. 重新安排；改期；調整時間 </t>
  </si>
  <si>
    <t>1. We had to reschedule the meeting. 2. The flight was rescheduled to tomorrow.</t>
  </si>
  <si>
    <t>efficient</t>
  </si>
  <si>
    <t>adj. 有效率的、效率高的；節能的</t>
  </si>
  <si>
    <t>1. She is very efficient at her job. 2. This machine is very efficient. 3. an energy-efficient car</t>
  </si>
  <si>
    <t>manner</t>
  </si>
  <si>
    <t>n. 方式；態度；舉止；禮貌</t>
  </si>
  <si>
    <t>1. He spoke in a polite manner. 2. Her manner was very calm.</t>
  </si>
  <si>
    <t>stamp</t>
  </si>
  <si>
    <t>n. 郵票；印章 v. 蓋章；跺腳</t>
  </si>
  <si>
    <t>1. I put a stamp on the letter. 2. The document has an official stamp. 3.The clerk stamped my passport.  4. He stamped his foot in anger.</t>
  </si>
  <si>
    <t>format</t>
  </si>
  <si>
    <t>n. 格式、形式 v. 編排；設定格式</t>
  </si>
  <si>
    <t>1. The document is in PDF format. 2. Please format the text before submitting.</t>
  </si>
  <si>
    <t>address</t>
  </si>
  <si>
    <t>n. 地址；演講 v. 對付、處理</t>
  </si>
  <si>
    <t>1. What is your home address? 2. The president gave a speech and an address. 3. We need to address this issue immediately.</t>
  </si>
  <si>
    <t>announce</t>
  </si>
  <si>
    <t>v. 宣布、公告、宣告</t>
  </si>
  <si>
    <t>The company announced a new product.</t>
  </si>
  <si>
    <t>in advance</t>
  </si>
  <si>
    <t>phr. 提前；事先</t>
  </si>
  <si>
    <t>Please book the tickets in advance.</t>
  </si>
  <si>
    <t>overview</t>
  </si>
  <si>
    <t>n. 概述、總覽、概觀</t>
  </si>
  <si>
    <t>1. The report gives an overview of the project. 2. This book provides a good overview of history.</t>
  </si>
  <si>
    <t>summarize</t>
  </si>
  <si>
    <t>v. 總結、摘要、概述</t>
  </si>
  <si>
    <t>Please summarize the article in three sentences.</t>
  </si>
  <si>
    <t>about</t>
  </si>
  <si>
    <t>prep. 關於 adv. 大約；附近；即將</t>
  </si>
  <si>
    <t>1. This book is about history. 2. It is about 5 o’clock. 3. He is somewhere about. 4. I was about to leave.</t>
  </si>
  <si>
    <t>explain</t>
  </si>
  <si>
    <t xml:space="preserve">v. 解釋、說明、闡述 </t>
  </si>
  <si>
    <t>Can you explain this grammar rule?</t>
  </si>
  <si>
    <t>circulate</t>
  </si>
  <si>
    <t>v. 流通；循環；散播；傳閱</t>
  </si>
  <si>
    <t>1. The air circulates in the room. 2. Rumors circulated quickly. 3. The memo was circulated among employees.</t>
  </si>
  <si>
    <t>forward</t>
  </si>
  <si>
    <t>adv. 向前、往前 adj. 前方的；未來的 v. 轉寄；推進、促進</t>
  </si>
  <si>
    <t>1. Step forward, please. 2. the forward direction 3. Please forward the email to me. 4. This plan will forward our goals.</t>
  </si>
  <si>
    <t>inform</t>
  </si>
  <si>
    <t>v. 通知、告知、報告</t>
  </si>
  <si>
    <t>1. Please inform me of any changes. 2. She informed the manager about the problem.</t>
  </si>
  <si>
    <t>reminder</t>
  </si>
  <si>
    <t>n. 提醒；提醒事項；提示</t>
  </si>
  <si>
    <t>1. I set a reminder for the meeting. 2. The app sends daily reminders.</t>
  </si>
  <si>
    <t>state</t>
  </si>
  <si>
    <t>n. 狀態、情況；州 (美國行政區)；國家 v. 陳述、說明</t>
  </si>
  <si>
    <t>1. The machine is in a bad state. 2. California is a large state. 3. the state government 4. He stated his opinion clearly.</t>
  </si>
  <si>
    <t>attention</t>
  </si>
  <si>
    <t>n. 注意、專注；關注、留意</t>
  </si>
  <si>
    <t>1. Please pay attention in class. 2. The issue has received a lot of attention.</t>
  </si>
  <si>
    <t>notify</t>
  </si>
  <si>
    <t>v. 通知；告知；正式告知</t>
  </si>
  <si>
    <t>1. Please notify me when you arrive. 2. The company notified employees about the policy update.</t>
  </si>
  <si>
    <t>short notice</t>
  </si>
  <si>
    <t>phr. n. 短時間通知；臨時通知</t>
  </si>
  <si>
    <t>Sorry for the short notice, but the meeting is cancelled.</t>
  </si>
  <si>
    <t>notice</t>
  </si>
  <si>
    <t xml:space="preserve">n./v. 注意；通知；公告；察覺 </t>
  </si>
  <si>
    <t>1. The school posted a notice on the board. 2. I didn’t take notice of it. 3. Did you notice the change?</t>
  </si>
  <si>
    <t>beforehand</t>
  </si>
  <si>
    <t>adv. 提前；事先</t>
  </si>
  <si>
    <t>I prepared everything beforehand.</t>
  </si>
  <si>
    <t>pertinent</t>
  </si>
  <si>
    <t xml:space="preserve">adj. 相關的、切題的；恰當的 </t>
  </si>
  <si>
    <t>Please provide all pertinent information.</t>
  </si>
  <si>
    <t>enact</t>
  </si>
  <si>
    <t>v. 制定 (法律)；頒布；實施；上演</t>
  </si>
  <si>
    <t>1. The government enacted a new law. 2. The policy was enacted last year. 3. The play enacts a historical event.</t>
  </si>
  <si>
    <t>obligate</t>
  </si>
  <si>
    <t>v. 使有義務；迫使；約束</t>
  </si>
  <si>
    <t>1. The contract obligates the company to provide support. 2. He felt obligated to help his friend.</t>
  </si>
  <si>
    <t>since</t>
  </si>
  <si>
    <t>prep. 自從 conj. 因為、既然 adv. 此後、從那之後</t>
  </si>
  <si>
    <t>1. I have lived here since 2020. 2. Since it is raining, we will stay home. 3. He left in 2019 and hasn’t been seen since.</t>
  </si>
  <si>
    <t>temporary</t>
  </si>
  <si>
    <t>adj. 臨時的；暫時的</t>
  </si>
  <si>
    <t>We are staying in a temporary shelter.</t>
  </si>
  <si>
    <t>command</t>
  </si>
  <si>
    <t>n./v. 命令；指令；控制；掌握</t>
  </si>
  <si>
    <t>1. The officer gave a clear command. 2. The general commanded the troops. 3. He has a good command of English.</t>
  </si>
  <si>
    <t>frequently</t>
  </si>
  <si>
    <t>adv. 頻繁地、經常地</t>
  </si>
  <si>
    <t>This problem occurs frequently.</t>
  </si>
  <si>
    <t>mandatory</t>
  </si>
  <si>
    <t>adj. 強制的、必須的；法定的</t>
  </si>
  <si>
    <t>1. Wearing a seatbelt is mandatory. 2. Attendance at the meeting is mandatory.</t>
  </si>
  <si>
    <t>affect</t>
  </si>
  <si>
    <t>v. 影響；作用於</t>
  </si>
  <si>
    <t>1. he new policy will affect many workers. 2. Smoking can affect your health.</t>
  </si>
  <si>
    <t>avoid</t>
  </si>
  <si>
    <t>v. 避免、迴避、躲開</t>
  </si>
  <si>
    <t>1. He avoided answering the question. 2. She avoided the crowded area.</t>
  </si>
  <si>
    <t>aware</t>
  </si>
  <si>
    <t>adj. 意識到的、察覺到的；知道的</t>
  </si>
  <si>
    <t>1. I am aware of the problem. 2. She became aware of the danger.</t>
  </si>
  <si>
    <t>circumstance</t>
  </si>
  <si>
    <t>n. 情況；環境；條件</t>
  </si>
  <si>
    <t>1. Under normal circumstances, this would be easy. 2. We must consider the circumstances before deciding. 3. In these circumstances, we should cancel the trip.</t>
  </si>
  <si>
    <t>concern</t>
  </si>
  <si>
    <t>n./v. 關心；擔憂；涉及；關於</t>
  </si>
  <si>
    <t>1. There is growing concern about climate change. 2. This issue concerns everyone.</t>
  </si>
  <si>
    <t>nearly</t>
  </si>
  <si>
    <t>adv. 幾乎、差不多、將近</t>
  </si>
  <si>
    <t>1. I nearly missed the bus. 2. It is nearly 10 o’clock. 3. The work is nearly finished.</t>
  </si>
  <si>
    <t>leisure</t>
  </si>
  <si>
    <t>n. 閒暇；休閒</t>
  </si>
  <si>
    <t>I enjoy reading books in my leisure time.</t>
  </si>
  <si>
    <t>sanction</t>
  </si>
  <si>
    <t>n./v. 制裁；批准；認可</t>
  </si>
  <si>
    <t>1. The country faced economic sanctions. 2. The government sanctioned the new policy.</t>
  </si>
  <si>
    <t>distributor</t>
  </si>
  <si>
    <t>n. 經銷商；分銷商；配送者</t>
  </si>
  <si>
    <t>The company is looking for a new distributor in Asia.</t>
  </si>
  <si>
    <t>weekday</t>
  </si>
  <si>
    <t>n. 平日；工作日</t>
  </si>
  <si>
    <t>I usually work out on weekdays.</t>
  </si>
  <si>
    <t>deposit</t>
  </si>
  <si>
    <t>n. 訂金；存款；沉積物 v. 存入；放置；沉積</t>
  </si>
  <si>
    <t>1. I paid a deposit for the apartment. 2. She deposited the money into her bank account.</t>
  </si>
  <si>
    <t>owner</t>
  </si>
  <si>
    <t>n. 擁有者、所有者、主人</t>
  </si>
  <si>
    <t>The restaurant owner decided to close the shop early today.</t>
  </si>
  <si>
    <t>competition</t>
  </si>
  <si>
    <t>n. 競爭、比賽、競賽</t>
  </si>
  <si>
    <t>The competition between the two companies is very strong.</t>
  </si>
  <si>
    <t>dock</t>
  </si>
  <si>
    <t>n. 碼頭；船塢 v. 使 (船) 靠碼頭；扣留；剪短 (如尾巴)</t>
  </si>
  <si>
    <t>1. The ship is waiting at the dock to unload cargo. 2. The police docked the suspect’s phone for investigation.</t>
  </si>
  <si>
    <t>bulletin</t>
  </si>
  <si>
    <t>n. 公告；簡報；新聞簡訊；公報</t>
  </si>
  <si>
    <t>1. The school bulletin announced the schedule for final exams. 2. A weather bulletin was issued this morning due to the typhoon.</t>
  </si>
  <si>
    <t>assurance</t>
  </si>
  <si>
    <t>n. 保證；確信；信心；保險</t>
  </si>
  <si>
    <t>1. The manager gave us assurance that the project would be completed on time. 2. She spoke with great assurance during the presentation.</t>
  </si>
  <si>
    <t>domain</t>
  </si>
  <si>
    <t>n. 領域；範圍；專業範疇；網域</t>
  </si>
  <si>
    <t>1. Mathematics is not my domain of expertise. 2. The company registered a new domain for its website.</t>
  </si>
  <si>
    <t>validate</t>
  </si>
  <si>
    <t>v. 驗證；確認；證實；使生效</t>
  </si>
  <si>
    <t>1. The system will validate your email address before registration. 2. We need to validate the data before making a decision.</t>
  </si>
  <si>
    <t>bakery</t>
  </si>
  <si>
    <t>n. 麵包店；烘焙坊</t>
  </si>
  <si>
    <t>I bought fresh bread from the bakery this morning.</t>
  </si>
  <si>
    <t>breach</t>
  </si>
  <si>
    <t>n. 違反；違約；破裂；缺口 v. 違反；破壞 (法律、規則、合約)</t>
  </si>
  <si>
    <t>1. There was a security breach in the company’s database. 2. The contract was breached by the supplier.</t>
  </si>
  <si>
    <t>clinic</t>
  </si>
  <si>
    <t>n. 診所；門診部；(學校或醫院的) 專門門診</t>
  </si>
  <si>
    <t>1. I went to the clinic because I had a bad cold. 2. The university offers a free counseling clinic for students.</t>
  </si>
  <si>
    <t>refundable</t>
  </si>
  <si>
    <t>adj. 可退款的、可退費的</t>
  </si>
  <si>
    <t>The ticket is refundable if you cancel it 24 hours in advance.</t>
  </si>
  <si>
    <t>appetizer</t>
  </si>
  <si>
    <t>n. 開胃菜、前菜</t>
  </si>
  <si>
    <t>We ordered a plate of appetizers before the main course.</t>
  </si>
  <si>
    <t>anxiety</t>
  </si>
  <si>
    <t>n. 焦慮、憂慮、不安</t>
  </si>
  <si>
    <t>1. She felt a lot of anxiety before the exam. 2. His anxiety about the future is affecting his sleep.</t>
  </si>
  <si>
    <t>sponsorship</t>
  </si>
  <si>
    <t>n. 贊助；贊助行為；贊助資金</t>
  </si>
  <si>
    <t>1. The event was held with the sponsorship of several companies. 2. She applied for a sports sponsorship to support her training.</t>
  </si>
  <si>
    <t>officially</t>
  </si>
  <si>
    <t>adv. 正式地；官方地；公開地</t>
  </si>
  <si>
    <t>1. The project was officially launched yesterday. 2. She is officially a member of the team now.</t>
  </si>
  <si>
    <t>wholesaler</t>
  </si>
  <si>
    <t>n. 批發商、批發業者</t>
  </si>
  <si>
    <t>The retailer buys products from a wholesaler at a lower price.</t>
  </si>
  <si>
    <t>consignment</t>
  </si>
  <si>
    <t>n. 寄售；托運貨物；一批貨物</t>
  </si>
  <si>
    <t>1. The store sells clothes on consignment from local designers. 2. A consignment of medical supplies arrived at the hospital.</t>
  </si>
  <si>
    <t>reputation</t>
  </si>
  <si>
    <t>n. 名聲、聲譽；評價</t>
  </si>
  <si>
    <t>1. The company has a good reputation for quality service. 2. His reputation was damaged after the scandal.</t>
  </si>
  <si>
    <t>relevant</t>
  </si>
  <si>
    <t>adj. 相關的、有關的、切題的</t>
  </si>
  <si>
    <t>1. Please include all relevant information in your report. 2. This article is not relevant to the topic we are discussing.</t>
  </si>
  <si>
    <t>catch up</t>
  </si>
  <si>
    <t>phr. v. 追上、趕上；敘舊、了解近況</t>
  </si>
  <si>
    <t xml:space="preserve">1. I need to catch up on my homework this weekend. 2. Let’s catch up over coffee sometime. </t>
  </si>
  <si>
    <t>freeway</t>
  </si>
  <si>
    <t>n. 高速公路（美式用法）</t>
  </si>
  <si>
    <t>There was heavy traffic on the freeway this morning.</t>
  </si>
  <si>
    <t>ownership</t>
  </si>
  <si>
    <t>n. 所有權；擁有；經營權</t>
  </si>
  <si>
    <t>1. The ownership of the house was transferred to his son. 2. The company changed ownership last year.</t>
  </si>
  <si>
    <t>branding</t>
  </si>
  <si>
    <t>n. 品牌經營、品牌塑造、品牌形象建立</t>
  </si>
  <si>
    <t>1. The company invested heavily in its branding strategy. 2. Strong branding helps a product stand out in the market.</t>
  </si>
  <si>
    <t>lightweight</t>
  </si>
  <si>
    <t>adj. 輕量的、輕巧的；不重要的 n. 輕量級選手</t>
  </si>
  <si>
    <t>1. This laptop is lightweight and easy to carry. 2. He is a lightweight boxer in the competition.</t>
  </si>
  <si>
    <t>publicity</t>
  </si>
  <si>
    <t>n. 宣傳；廣告宣傳；公開報導；名氣</t>
  </si>
  <si>
    <t>1. The new product received a lot of publicity after the launch. 2. She avoids publicity and prefers to stay out of the spotlight.</t>
  </si>
  <si>
    <t>pastry</t>
  </si>
  <si>
    <t>n. 糕點；酥皮點心；麵糰</t>
  </si>
  <si>
    <t>1. I bought some pastries from the bakery this morning. 2. The chef is skilled at making puff pastry.</t>
  </si>
  <si>
    <t>luggage</t>
  </si>
  <si>
    <t>n. 行李</t>
  </si>
  <si>
    <t>Please place your luggage on the conveyor belt.</t>
  </si>
  <si>
    <t>flyer</t>
  </si>
  <si>
    <t>n. 傳單；小廣告</t>
  </si>
  <si>
    <t>The company handed out flyers to promote the new store.</t>
  </si>
  <si>
    <t>functional</t>
  </si>
  <si>
    <t>adj.功能性的；實用的；能運作的</t>
  </si>
  <si>
    <t>1. The design is simple but highly functional. 2. The machine is no longer functional after the accident.</t>
  </si>
  <si>
    <t>ticket</t>
  </si>
  <si>
    <t>n. 票；券；罰單</t>
  </si>
  <si>
    <t>I bought a ticket for the concert next week.</t>
  </si>
  <si>
    <t>perceive</t>
  </si>
  <si>
    <t>v. 察覺、感知；認為；理解</t>
  </si>
  <si>
    <t>1. She perceived a change in his attitude. 2. He is perceived as a strong leader by his team.</t>
  </si>
  <si>
    <t>pole</t>
  </si>
  <si>
    <t>n. 桿；柱；極（如南北極）；電線桿</t>
  </si>
  <si>
    <t>1. The flag is attached to a tall pole. 2. He climbed the pole to fix the sign.</t>
  </si>
  <si>
    <t>expenditure</t>
  </si>
  <si>
    <t>n. 支出；花費；經費</t>
  </si>
  <si>
    <t>1. The company reduced its expenditure to increase profits. 2. Government expenditure on healthcare has increased this year.</t>
  </si>
  <si>
    <t>merchandise</t>
  </si>
  <si>
    <t>n. 商品；貨品 v. 推銷；經營商品；做商品化</t>
  </si>
  <si>
    <t>1. The store sells a wide range of merchandise. 2. The brand is heavily merchandised through online platforms.</t>
  </si>
  <si>
    <t>emergency</t>
  </si>
  <si>
    <t>n. 緊急情況、突發事件、危急狀況</t>
  </si>
  <si>
    <t>Call this number in case of emergency.</t>
  </si>
  <si>
    <t>port</t>
  </si>
  <si>
    <t>n. 港口；埠；（電腦）埠、端口 2. 轉移；輸出（資料／系統移植）</t>
  </si>
  <si>
    <t>1. The ship arrived at the port early in the morning. 2. The software was ported to a new operating system.</t>
  </si>
  <si>
    <t>promotion</t>
  </si>
  <si>
    <t>n. 促銷；推廣；升職、晉升</t>
  </si>
  <si>
    <t>1. The store is running a special promotion this weekend. 2. She received a promotion after working hard for three years.</t>
  </si>
  <si>
    <t>handler</t>
  </si>
  <si>
    <t>n. 處理者；操作者；管理人員；（動物）訓練員</t>
  </si>
  <si>
    <t>1. The dog handler trains police dogs for special missions. 2. The event handler solved the problem quickly.</t>
  </si>
  <si>
    <t>transit</t>
  </si>
  <si>
    <t>n./v. 運輸；通過；過境；轉運</t>
  </si>
  <si>
    <t>1. The goods are in transit to the warehouse. 2. Passengers can transit through the airport without a visa.</t>
  </si>
  <si>
    <t>earnings</t>
  </si>
  <si>
    <t>n. 收入、收益；薪資；獲利</t>
  </si>
  <si>
    <t>1. His monthly earnings are enough to support his family 2. The company reported strong earnings this quarter.</t>
  </si>
  <si>
    <t>nationwide</t>
  </si>
  <si>
    <t>adj. 全國性的；遍及全國地</t>
  </si>
  <si>
    <t>1. The company launched a nationwide campaign. The new policy will be implemented nationwide.</t>
  </si>
  <si>
    <t>lounge</t>
  </si>
  <si>
    <t>n. 休息室；候機室；沙發廳 v. 懶散地躺/坐；閒逛；放鬆</t>
  </si>
  <si>
    <t>1. We waited for our flight in the airport lounge. 2. He was lounging on the sofa all afternoon.</t>
  </si>
  <si>
    <t>carrier</t>
  </si>
  <si>
    <t>n. 運輸公司；承運人；載體；攜帶者</t>
  </si>
  <si>
    <t>1. The shipping carrier delivered the package on time. 2. He is a carrier of the virus but shows no symptoms.</t>
  </si>
  <si>
    <t>compare</t>
  </si>
  <si>
    <t>v. 比較、對照、相比</t>
  </si>
  <si>
    <t>1. You should compare prices before buying a product. 2. Let’s compare these two options carefully.</t>
  </si>
  <si>
    <t>courteous</t>
  </si>
  <si>
    <t>adj. 有禮貌的、客氣的、彬彬有禮的</t>
  </si>
  <si>
    <t>1. The staff were courteous and helpful to all customers. 2. It is courteous to say “thank you” when someone helps you.</t>
  </si>
  <si>
    <t>vote</t>
  </si>
  <si>
    <t>v./n. 投票；表決；選票</t>
  </si>
  <si>
    <t>1. Citizens can vote in the national election. 2. The proposal passed by a majority vote.</t>
  </si>
  <si>
    <t>healthful</t>
  </si>
  <si>
    <t>adj. 有益健康的；健康的</t>
  </si>
  <si>
    <t>Eating a healthful diet can reduce the risk of disease.</t>
  </si>
  <si>
    <t>leverage</t>
  </si>
  <si>
    <t>n. 槓桿作用；影響力；優勢 v. 利用；發揮（資源、優勢）</t>
  </si>
  <si>
    <t xml:space="preserve">1. The company used its brand reputation as leverage to enter new markets. 2. We should leverage our existing resources to improve efficiency. </t>
  </si>
  <si>
    <t>workspace</t>
  </si>
  <si>
    <t>n. 工作空間、工作區、辦公空間</t>
  </si>
  <si>
    <t>1. The company provides a shared workspace for freelancers. 2. You can customize your digital workspace for better efficiency.</t>
  </si>
  <si>
    <t>navigate</t>
  </si>
  <si>
    <t>v. 導航、指引路線；（比喻）應對/處理（情況）</t>
  </si>
  <si>
    <t>1. The app helps drivers navigate through heavy traffic. 2. She successfully navigated a difficult career transition.</t>
  </si>
  <si>
    <t>make up for</t>
  </si>
  <si>
    <t>phr. v. 彌補、補償、補救</t>
  </si>
  <si>
    <t>1. He worked overtime to make up for the lost time. 2. Nothing can make up for the damage caused by the mistake.</t>
  </si>
  <si>
    <t>exceed</t>
  </si>
  <si>
    <t>v. 超過、超出、超越</t>
  </si>
  <si>
    <t>1. The cost may exceed the original budget. 2. Sales this year exceeded expectations.</t>
  </si>
  <si>
    <t>lawyer</t>
  </si>
  <si>
    <t>n. 律師</t>
  </si>
  <si>
    <t>She works as a lawyer in a large law firm.</t>
  </si>
  <si>
    <t>importantly</t>
  </si>
  <si>
    <t>adv. 重要地</t>
  </si>
  <si>
    <t>1. More importantly, we need to finish the project on time. 2. Importantly, the results show a significant improvement.</t>
  </si>
  <si>
    <t>scanner</t>
  </si>
  <si>
    <t xml:space="preserve">n. 掃描器；掃描設備；檢查儀器 </t>
  </si>
  <si>
    <t>I scanned the document using a scanner.</t>
  </si>
  <si>
    <t>silverware</t>
  </si>
  <si>
    <t>n. 餐具（刀叉湯匙等）；銀器</t>
  </si>
  <si>
    <t>1. Please put the silverware on the table before dinner. 2. The restaurant uses high-quality silverware for fine dining.</t>
  </si>
  <si>
    <t>quotation</t>
  </si>
  <si>
    <t xml:space="preserve">n. 報價；引用語、引文；引號 </t>
  </si>
  <si>
    <t>1. The company provided a quotation for the repair work. 2. The essay includes a quotation from a famous author.</t>
  </si>
  <si>
    <t>valid</t>
  </si>
  <si>
    <t xml:space="preserve">adj. 有效的；正當的；合理的 </t>
  </si>
  <si>
    <t xml:space="preserve">1. Your ticket is valid for three months. 2.He gave a valid reason for being late. </t>
  </si>
  <si>
    <t>evaluate</t>
  </si>
  <si>
    <t>v. 評估；評價；估算</t>
  </si>
  <si>
    <t>1. We need to evaluate the results of the project. 2. The teacher will evaluate the students’ performance.</t>
  </si>
  <si>
    <t>provision</t>
  </si>
  <si>
    <t>n. 供應；規定條款；準備物資 v. 提供；供給</t>
  </si>
  <si>
    <t>1. The contract includes a provision for early termination. 2. The company must provision enough resources for the project.</t>
  </si>
  <si>
    <t>bankrupt</t>
  </si>
  <si>
    <t>adj. 破產的；倒閉的 v. 使破產</t>
  </si>
  <si>
    <t>1. The company went bankrupt after years of losses. 2. The scandal nearly bankrupted the business.</t>
  </si>
  <si>
    <t>mechanic</t>
  </si>
  <si>
    <t>n. 技師；機械工；修理工</t>
  </si>
  <si>
    <t>The mechanic repaired my car quickly.</t>
  </si>
  <si>
    <t>outreach</t>
  </si>
  <si>
    <t>n. 外展服務；宣導活動；拓展 v. 進行外展；接觸並提供服務</t>
  </si>
  <si>
    <t>1. The company launched a community outreach program. 2. The organization reaches out to schools through outreach activities.</t>
  </si>
  <si>
    <t>malfunction</t>
  </si>
  <si>
    <t>n. 故障；失靈 v. 發生故障；失靈</t>
  </si>
  <si>
    <t>1. The machine malfunction caused a production delay. 2. The system malfunctioned during the update.</t>
  </si>
  <si>
    <t>fitness</t>
  </si>
  <si>
    <t xml:space="preserve">n. 健康狀態；體適能；健身 </t>
  </si>
  <si>
    <t>1. Regular exercise improves your fitness. 2. She joined a fitness program to stay healthy.</t>
  </si>
  <si>
    <t>housekeeping</t>
  </si>
  <si>
    <t>n. 家務；（飯店）客房清潔；內部管理事務</t>
  </si>
  <si>
    <t>1. The hotel provides daily housekeeping service. 2. She is responsible for housekeeping and cooking at home.</t>
  </si>
  <si>
    <t>identification</t>
  </si>
  <si>
    <t>n. 身分證明；識別；確認</t>
  </si>
  <si>
    <t>1. Please show your identification at the entrance. 2. The identification of the problem is the first step to solving it.</t>
  </si>
  <si>
    <t>unanimous</t>
  </si>
  <si>
    <t>adj. 全體一致的；無異議的</t>
  </si>
  <si>
    <t>1. The committee made a unanimous decision. 2. The proposal was approved by a unanimous vote.</t>
  </si>
  <si>
    <t>toll</t>
  </si>
  <si>
    <t>n. 通行費；傷亡數 v. 收費（道路等）；緩慢敲鐘</t>
  </si>
  <si>
    <t>1. Drivers must pay a toll to use this highway. 2. The earthquake took a heavy toll on the city.</t>
  </si>
  <si>
    <t>underground</t>
  </si>
  <si>
    <t>adj. 地下的；秘密的；非法的 adv. 在地下；秘密地 n. 地鐵（英式用法）；地下組織</t>
  </si>
  <si>
    <t>1. The city has an extensive underground train system. 2. The group operated underground during the war.</t>
  </si>
  <si>
    <t>manage</t>
  </si>
  <si>
    <t>v. 管理；經營；設法做到；應付</t>
  </si>
  <si>
    <t>1. She manages a team of ten employees. 2. I managed to finish the report on time.</t>
  </si>
  <si>
    <t>pension</t>
  </si>
  <si>
    <t>n. 退休金；養老金；年金</t>
  </si>
  <si>
    <t>1. He receives a monthly pension after retirement. 2. The government increased the pension benefits this year.</t>
  </si>
  <si>
    <t>qualified</t>
  </si>
  <si>
    <t>adj. 合格的；有資格的；勝任的</t>
  </si>
  <si>
    <t>1. She is a highly qualified engineer. 2. Only qualified applicants will be considered for the position.</t>
  </si>
  <si>
    <t>leaflet</t>
  </si>
  <si>
    <t xml:space="preserve">n. 小冊子；傳單；說明單張 </t>
  </si>
  <si>
    <t>1. The store handed out leaflets to promote the sale. 2. I picked up a leaflet about local tourist attractions.</t>
  </si>
  <si>
    <t>audit</t>
  </si>
  <si>
    <t>n./v. 審計；查帳；稽核</t>
  </si>
  <si>
    <t>1. The company underwent an annual financial audit. 2. The accountant will audit the company’s records.</t>
  </si>
  <si>
    <t>volume</t>
  </si>
  <si>
    <t>n. 體積；容量；音量；（書籍）卷</t>
  </si>
  <si>
    <t>1. The volume of sales increased this year. 2. Please adjust the volume of the TV.</t>
  </si>
  <si>
    <t>portfolio</t>
  </si>
  <si>
    <t xml:space="preserve">n. 作品集；投資組合；資產組合 </t>
  </si>
  <si>
    <t>1. She presented her design portfolio during the interview. 2. He has a diversified investment portfolio.</t>
  </si>
  <si>
    <t>catalog</t>
  </si>
  <si>
    <t>n. 目錄；商品型錄；清單 v. 編目；列入目錄</t>
  </si>
  <si>
    <t>1. The company released a new product catalog. 2. The library catalog helps users find books easily.</t>
  </si>
  <si>
    <t>insurance</t>
  </si>
  <si>
    <t>n. 保險；保險金；保障</t>
  </si>
  <si>
    <t xml:space="preserve">1. You should buy travel insurance before your trip. 2. The company provides health insurance for employees. </t>
  </si>
  <si>
    <t>comparison</t>
  </si>
  <si>
    <t>n. 比較、對照、比照</t>
  </si>
  <si>
    <t>1. A price comparison shows this store is cheaper. 2. There is no comparison between the two products.</t>
  </si>
  <si>
    <t>cabin</t>
  </si>
  <si>
    <t xml:space="preserve">n. 小屋；船艙；機艙；機組人員休息室 </t>
  </si>
  <si>
    <t>1. We stayed in a small cabin in the mountains. 2. The passengers settled into their seats in the airplane cabin.</t>
  </si>
  <si>
    <t>orientation</t>
  </si>
  <si>
    <t>n. 方向；定位；朝向；取向；傾向；（新生／新員工）說明會；迎新活動</t>
  </si>
  <si>
    <t>1. The orientation of the building allows more sunlight. 2. New employees must attend an orientation session.</t>
  </si>
  <si>
    <t>compatible</t>
  </si>
  <si>
    <t>adj. 相容的；兼容的；合得來的</t>
  </si>
  <si>
    <t>1. The software is compatible with most operating systems. 2. Their personalities are very compatible.</t>
  </si>
  <si>
    <t>fill out</t>
  </si>
  <si>
    <t>phr. v. 填寫</t>
  </si>
  <si>
    <t>Please fill out this application form.</t>
  </si>
  <si>
    <t>multiple</t>
  </si>
  <si>
    <t>adj. 多個的、多重的、多樣的 n. 倍數</t>
  </si>
  <si>
    <t>1. The system supports multiple users at the same time. 2. Twelve is a multiple of three.</t>
  </si>
  <si>
    <t>vaccine</t>
  </si>
  <si>
    <t>n. 疫苗</t>
  </si>
  <si>
    <t>The vaccine helps protect people from the virus.</t>
  </si>
  <si>
    <t>manually</t>
  </si>
  <si>
    <t>adv. 手動地；用手操作地</t>
  </si>
  <si>
    <t>The data was entered manually into the system.</t>
  </si>
  <si>
    <t>inconvenience</t>
  </si>
  <si>
    <t>n. 不便、麻煩 v. 使不便、造成麻煩</t>
  </si>
  <si>
    <t>1. We apologize for any inconvenience caused by the delay. 2. The road construction will inconvenience local residents.</t>
  </si>
  <si>
    <t>proofread</t>
  </si>
  <si>
    <t>v. 校對；校稿；檢查並修正錯誤</t>
  </si>
  <si>
    <t>1. Please proofread the report before submitting it. 2. She proofread the document carefully for spelling mistakes.</t>
  </si>
  <si>
    <t>stapler</t>
  </si>
  <si>
    <t>n. 訂書機</t>
  </si>
  <si>
    <t>I used a stapler to bind the papers together.</t>
  </si>
  <si>
    <t>postage</t>
  </si>
  <si>
    <t>n. 郵資、郵費</t>
  </si>
  <si>
    <t>The postage for international mail is quite expensive.</t>
  </si>
  <si>
    <t>agency</t>
  </si>
  <si>
    <t>n. 代理機構；政府部門</t>
  </si>
  <si>
    <t>1. She works for a travel agency in Taipei. 2. The government agency is responsible for food safety.</t>
  </si>
  <si>
    <t>attractive</t>
  </si>
  <si>
    <t>adj. 有吸引力的；迷人的；誘人的</t>
  </si>
  <si>
    <t>1. The company offers an attractive salary package. 2. She is an attractive and confident speaker.</t>
  </si>
  <si>
    <t>diversify</t>
  </si>
  <si>
    <t>v. 使多樣化；分散（風險／投資）；拓展多元化</t>
  </si>
  <si>
    <t>1. The company plans to diversify its product line. 2. Investors diversify their portfolios to reduce risk.</t>
  </si>
  <si>
    <t>sightseeing</t>
  </si>
  <si>
    <t>n. 觀光、遊覽</t>
  </si>
  <si>
    <t>We went sightseeing around the city during our trip.</t>
  </si>
  <si>
    <t>dislike</t>
  </si>
  <si>
    <t>n./v. 不喜歡；厭惡</t>
  </si>
  <si>
    <t>I dislike waking up early in the morning.</t>
  </si>
  <si>
    <t>income</t>
  </si>
  <si>
    <t>n. 收入、所得</t>
  </si>
  <si>
    <t>His monthly income is enough to support his family.</t>
  </si>
  <si>
    <t>check in</t>
  </si>
  <si>
    <t>phr. v. 登記入住；報到</t>
  </si>
  <si>
    <t>1. We will check in at the hotel after 3 p.m. 2. Passengers must check in two hours before departure.</t>
  </si>
  <si>
    <t>memorandum</t>
  </si>
  <si>
    <t>n. 備忘錄；內部通知</t>
  </si>
  <si>
    <t>The manager sent a memorandum to all employees.</t>
  </si>
  <si>
    <t>determine</t>
  </si>
  <si>
    <t>v. 決定；確定；判定；查明</t>
  </si>
  <si>
    <t>1. We need to determine the cause of the problem. 2. The results will determine the next step of the project.</t>
  </si>
  <si>
    <t>credit</t>
  </si>
  <si>
    <t>n. 信用；貸款；學分；存款額度 v. 記入帳戶；歸功於</t>
  </si>
  <si>
    <t>1. She has a good credit history. 2. The achievement is credited to the whole team.</t>
  </si>
  <si>
    <t>damage</t>
  </si>
  <si>
    <t>n./v. 損害；損失；傷害；破壞</t>
  </si>
  <si>
    <t>1. The storm caused serious damage to the building. 2. The machine was damaged during transport.</t>
  </si>
  <si>
    <t>discipline</t>
  </si>
  <si>
    <t>n. 紀律；自制力；訓練；學科（領域） v. 訓練；管教；懲戒</t>
  </si>
  <si>
    <t>1. Good discipline is important in the workplace. 2. She disciplined herself to study every day.</t>
  </si>
  <si>
    <t>waiver</t>
  </si>
  <si>
    <t>n. 放棄權利聲明；棄權書；免責聲明</t>
  </si>
  <si>
    <t>1. You must sign a waiver before participating in the activity. 2. The company granted a waiver of the fee for special cases.</t>
  </si>
  <si>
    <t>debug</t>
  </si>
  <si>
    <t>v. 除錯、修正錯誤</t>
  </si>
  <si>
    <t>The engineer spent hours debugging the software.</t>
  </si>
  <si>
    <t>gear</t>
  </si>
  <si>
    <t>n. 裝備；齒輪；排檔（車輛） v. 調整；使適合；適應</t>
  </si>
  <si>
    <t>1. He put the car into first gear. 2. The course is geared toward beginners.</t>
  </si>
  <si>
    <t>rely on</t>
  </si>
  <si>
    <t>phr. v. 依賴；依靠；信任</t>
  </si>
  <si>
    <t>1. You can rely on him to finish the job on time. 2. Many companies rely on technology to improve efficiency.</t>
  </si>
  <si>
    <t>embassy</t>
  </si>
  <si>
    <t>n. 大使館</t>
  </si>
  <si>
    <t>He went to the embassy to renew his passport.</t>
  </si>
  <si>
    <t>tech</t>
  </si>
  <si>
    <t>adj. 科技的；技術相關的</t>
  </si>
  <si>
    <t>he company works in the tech industry.</t>
  </si>
  <si>
    <t>logistics</t>
  </si>
  <si>
    <t>n. 物流；後勤；運籌管理</t>
  </si>
  <si>
    <t>1. The company specializes in global logistics. 2. Managing event logistics can be very complex.</t>
  </si>
  <si>
    <t>governance</t>
  </si>
  <si>
    <t>n. 治理；管理體制；管治方式（常見於企業或政府）</t>
  </si>
  <si>
    <t>1. Good corporate governance improves transparency and accountability. 2. The report focuses on environmental governance policies.</t>
  </si>
  <si>
    <t>theatrical</t>
  </si>
  <si>
    <t>adj. 戲劇的；舞台的；誇張的</t>
  </si>
  <si>
    <t>1. The film has a strong theatrical style. 2. His reaction was very theatrical and unrealistic.</t>
  </si>
  <si>
    <t>cinema</t>
  </si>
  <si>
    <t>n. 電影院；電影（英式用法）</t>
  </si>
  <si>
    <t>1. We went to the cinema to watch a movie. 2. She loves cinema and watches films every weekend.</t>
  </si>
  <si>
    <t>playhouse</t>
  </si>
  <si>
    <t>n. 劇場；戲院；兒童遊戲小屋</t>
  </si>
  <si>
    <t>1. The new playhouse will host a variety of performances. 2. The children were playing in a small playhouse in the garden.</t>
  </si>
  <si>
    <t>call off</t>
  </si>
  <si>
    <t>phr. v. 取消、叫停、終止</t>
  </si>
  <si>
    <t>The event was called off at the last minute.</t>
  </si>
  <si>
    <t>availability</t>
  </si>
  <si>
    <t>n. 可用性；可獲得性；是否有空</t>
  </si>
  <si>
    <t>1. Please check the availability of the meeting room. 2. Her availability for the interview is next Monday.</t>
  </si>
  <si>
    <t>accessibility</t>
  </si>
  <si>
    <t>n. 可及性；可接近性；無障礙設計</t>
  </si>
  <si>
    <t>1. The website improves accessibility for users with disabilities. 2. The accessibility of public transport is very important.</t>
  </si>
  <si>
    <t>readiness</t>
  </si>
  <si>
    <t>n. 準備就緒；準備狀態；願意</t>
  </si>
  <si>
    <t>1. The team showed readiness for the new project. 2. Her readiness to help made the process smoother.</t>
  </si>
  <si>
    <t>release</t>
  </si>
  <si>
    <t>n./v. 發布；發行；釋放</t>
  </si>
  <si>
    <t>1. The company will release a new product next month. 2. The movie’s release date is next Friday.</t>
  </si>
  <si>
    <t>disclaimer</t>
  </si>
  <si>
    <t>n. 免責聲明；否認聲明</t>
  </si>
  <si>
    <t>The website includes a disclaimer about the accuracy of the information.</t>
  </si>
  <si>
    <t>waive</t>
  </si>
  <si>
    <t>v. 放棄（權利、費用、要求）；免除</t>
  </si>
  <si>
    <t>1. The company agreed to waive the service fee. 2. He waived his right to appeal.</t>
  </si>
  <si>
    <t>commute</t>
  </si>
  <si>
    <t xml:space="preserve">n. 通勤；往返（上下班）v. 通勤；通勤時間／路程 </t>
  </si>
  <si>
    <t>1. She commutes to work by train every day. 2. His daily commute takes about one hour.</t>
  </si>
  <si>
    <t>consume</t>
  </si>
  <si>
    <t>v. 消耗；消費；吃／喝；使用</t>
  </si>
  <si>
    <t>1. This device consumes a lot of electricity. 2. People consume more content on mobile devices.</t>
  </si>
  <si>
    <t>deplete</t>
  </si>
  <si>
    <t>v. 耗盡；消耗殆盡；使枯竭</t>
  </si>
  <si>
    <t>1. The long drought has depleted the water supply. 2. Heavy use of resources may deplete natural reserves.</t>
  </si>
  <si>
    <t>conserve</t>
  </si>
  <si>
    <t>v. 保存；節約；保護（自然資源等）</t>
  </si>
  <si>
    <t>1. We should conserve water during the dry season. 2. The government is working to conserve natural resources.</t>
  </si>
  <si>
    <t>major</t>
  </si>
  <si>
    <t>adj. 主要的；重要的；重大的 n. 主修科目；（美軍）少校 v.主修（學科）</t>
  </si>
  <si>
    <t>1. This is a major problem for the company. 2. She is majoring in business administration.</t>
  </si>
  <si>
    <t>tablet</t>
  </si>
  <si>
    <t>n. 平板電腦；藥片；碑狀物</t>
  </si>
  <si>
    <t>1. I use a tablet to read e-books. 2.The doctor gave me a pain relief tablet.</t>
  </si>
  <si>
    <t>systematic</t>
  </si>
  <si>
    <t>adj. 系統的；有條理的；有組織的</t>
  </si>
  <si>
    <t>1. The company uses a systematic approach to problem-solving. 2. She made a systematic review of all the documents.</t>
  </si>
  <si>
    <t>compliance</t>
  </si>
  <si>
    <t>n. 遵守；服從；合規</t>
  </si>
  <si>
    <t>1. The company ensures compliance with safety regulations. 2. Failure to meet compliance standards may result in penalties.</t>
  </si>
  <si>
    <t>obedience</t>
  </si>
  <si>
    <t>n. 服從；順從；遵從</t>
  </si>
  <si>
    <t>1. The dog was trained to show obedience to commands. 2. Obedience to company rules is required for all employees.</t>
  </si>
  <si>
    <t>adherence</t>
  </si>
  <si>
    <t>n. 遵守；堅持；依從（規則、原則、計畫等）</t>
  </si>
  <si>
    <t>1. Strict adherence to the rules is required. 2. Adherence to the schedule helped the project succeed.</t>
  </si>
  <si>
    <t>violation</t>
  </si>
  <si>
    <t>n. 違反；違規；侵犯</t>
  </si>
  <si>
    <t>1. Parking in this area is a violation of the rules. 2. The company was fined for a violation of safety regulations.</t>
  </si>
  <si>
    <t>defiance</t>
  </si>
  <si>
    <t>n. 違抗；反抗；挑戰權威</t>
  </si>
  <si>
    <t>1. He acted in defiance of the rules. 2. The protest was an act of defiance against the government.</t>
  </si>
  <si>
    <t>comply</t>
  </si>
  <si>
    <t>v. 遵守；服從；符合（規定、要求）</t>
  </si>
  <si>
    <t>1. All employees must comply with safety regulations. 2. The company complied with the new law.</t>
  </si>
  <si>
    <t>reliability</t>
  </si>
  <si>
    <t>n. 可靠性；可信度；穩定性</t>
  </si>
  <si>
    <t>1. The reliability of the system is very important. 2. We tested the reliability of the data before using it.</t>
  </si>
  <si>
    <t>repayment</t>
  </si>
  <si>
    <t>n. 償還；還款；分期付款</t>
  </si>
  <si>
    <t>1. The loan requires monthly repayments. 2. He struggled with the repayment of his debt.</t>
  </si>
  <si>
    <t>compensation</t>
  </si>
  <si>
    <t>n. 補償；賠償；報酬</t>
  </si>
  <si>
    <t>1. The company offered compensation for the damage. 2. Employees receive compensation for overtime work.</t>
  </si>
  <si>
    <t>reimburse</t>
  </si>
  <si>
    <t>v. 報銷；償還費用；補償</t>
  </si>
  <si>
    <t>1. The company will reimburse your travel expenses. 2. Employees are reimbursed for business-related costs.</t>
  </si>
  <si>
    <t>parcel</t>
  </si>
  <si>
    <t>n. 包裹；郵包；一小塊土地 v. 分配；打包；分成小部分</t>
  </si>
  <si>
    <t>1. I received a parcel from overseas yesterday. 2. The land was parceled into smaller sections.</t>
  </si>
  <si>
    <t>precise</t>
  </si>
  <si>
    <t>adj. 精確的；準確的；明確的</t>
  </si>
  <si>
    <t>1. The engineer gave a precise measurement of the parts. 2. Please be more precise in your instructions.</t>
  </si>
  <si>
    <t>costly</t>
  </si>
  <si>
    <t>adj. 昂貴的；代價高的；損失大的</t>
  </si>
  <si>
    <t>1. The repair was very costly. 2. A small mistake can be costly for the company.</t>
  </si>
  <si>
    <t>pricey</t>
  </si>
  <si>
    <t>adj. 昂貴的；價格偏高的</t>
  </si>
  <si>
    <t>This restaurant is a bit pricey, but the food is great.</t>
  </si>
  <si>
    <t>inexpensive</t>
  </si>
  <si>
    <t>adj. 不貴的；便宜的；價格合理的</t>
  </si>
  <si>
    <t>1. This is an inexpensive but high-quality product. 2. We found an inexpensive hotel near the station.</t>
  </si>
  <si>
    <t>buffet</t>
  </si>
  <si>
    <t>n. 自助餐；自助餐檯</t>
  </si>
  <si>
    <t>We had dinner at a buffet restaurant.</t>
  </si>
  <si>
    <t>smorgasbord</t>
  </si>
  <si>
    <t>n. 自助餐；各式各樣的豐富選擇</t>
  </si>
  <si>
    <t>1. The restaurant offers a smorgasbord of international dishes. 2. The festival was a smorgasbord of music, food, and art.</t>
  </si>
  <si>
    <t>tray</t>
  </si>
  <si>
    <t>n. 托盤；盤子</t>
  </si>
  <si>
    <t>1. She carried a tray of coffee to the table. 2. Please put your belongings in the tray.</t>
  </si>
  <si>
    <t>timetable</t>
  </si>
  <si>
    <t>n. 時間表；課表；時刻表</t>
  </si>
  <si>
    <t>1. The train timetable has been updated. 2. I checked my class timetable for tomorrow.</t>
  </si>
  <si>
    <t>chronology</t>
  </si>
  <si>
    <t>n. 時間順序；編年；年代學</t>
  </si>
  <si>
    <t>1. The report presents the events in chronological order. 2. The book explains the chronology of ancient civilizations.</t>
  </si>
  <si>
    <t>routinely</t>
  </si>
  <si>
    <t>adv. 例行地；常規地；習慣性地</t>
  </si>
  <si>
    <t>1. The system is routinely checked for errors. 2. She routinely arrives at work early.</t>
  </si>
  <si>
    <t>pack</t>
  </si>
  <si>
    <t>v. 打包；收拾行李；裝箱 n. 一包；一群；背包</t>
  </si>
  <si>
    <t>1. I need to pack my clothes for the trip. 2. He bought a pack of batteries.</t>
  </si>
  <si>
    <t>washroom</t>
  </si>
  <si>
    <t>n. 洗手間；廁所</t>
  </si>
  <si>
    <t>Excuse me, where is the washroom?</t>
  </si>
  <si>
    <t>routine</t>
  </si>
  <si>
    <t>n. 例行公事；日常程序；慣例 adj. 例行的；日常的</t>
  </si>
  <si>
    <t>1. Exercise is part of her daily routine. 2. The doctor performed a routine checkup.</t>
  </si>
  <si>
    <t>fixture</t>
  </si>
  <si>
    <t>n. 固定裝置；設備；夾具；固定成員</t>
  </si>
  <si>
    <t>1. The lighting fixtures were replaced last week. 2. He has become a fixture in the company.</t>
  </si>
  <si>
    <t>suite</t>
  </si>
  <si>
    <t>n. 套房；一系列；（軟體）套件</t>
  </si>
  <si>
    <t>1. They stayed in a luxury hotel suite. 2. The company uses an office software suite.</t>
  </si>
  <si>
    <t>groom</t>
  </si>
  <si>
    <t>v. 整理儀容；梳理；培養、訓練（人才）</t>
  </si>
  <si>
    <t>1. He spent time grooming his dog. 2. The company is grooming her for a leadership position.</t>
  </si>
  <si>
    <t>compatibility</t>
  </si>
  <si>
    <t>n. 相容性；兼容性；合得來</t>
  </si>
  <si>
    <t>1. We tested the compatibility of the software with different systems. 2. Personality compatibility is important in teamwork.</t>
  </si>
  <si>
    <t>rack</t>
  </si>
  <si>
    <t>n. 架子；置物架；機架 v. 使受苦；折磨</t>
  </si>
  <si>
    <t>1. The shoes are on the rack near the door. 2. The server rack contains multiple network devices.</t>
  </si>
  <si>
    <t>cite</t>
  </si>
  <si>
    <t>v. 引用；引述；舉例；傳喚（法律）</t>
  </si>
  <si>
    <t>1. Please cite your sources in the report. 2. The article cited several scientific studies.</t>
  </si>
  <si>
    <t>assist</t>
  </si>
  <si>
    <t>v. 協助；幫助；支援</t>
  </si>
  <si>
    <t>1. The staff will assist you with the process. 2. She assisted him in preparing the presentation.</t>
  </si>
  <si>
    <t>hinder</t>
  </si>
  <si>
    <t>v. 妨礙；阻礙；使受阻</t>
  </si>
  <si>
    <t>1. Bad weather may hinder the project progress. 2. Lack of funding hindered the company’s expansion.</t>
  </si>
  <si>
    <t>obstruct</t>
  </si>
  <si>
    <t>v. 阻礙；妨礙；堵塞</t>
  </si>
  <si>
    <t>1. The road was obstructed by fallen trees. 2. Do not obstruct emergency exits.</t>
  </si>
  <si>
    <t>seminar</t>
  </si>
  <si>
    <t>n. 研討會；講座；專題討論課</t>
  </si>
  <si>
    <t>1. She attended a seminar on marketing strategies. 2. The university offers weekly seminars for students.</t>
  </si>
  <si>
    <t>variety</t>
  </si>
  <si>
    <t>n. 多樣性；種類；各式各樣</t>
  </si>
  <si>
    <t>1. The store offers a wide variety of products. 2. We need more variety in our daily meals.</t>
  </si>
  <si>
    <t>uniformity</t>
  </si>
  <si>
    <t>n. 一致性；統一性；均勻性</t>
  </si>
  <si>
    <t>1. The company aims for uniformity in product quality. 2. Uniformity in procedures helps reduce errors.</t>
  </si>
  <si>
    <t>cursor</t>
  </si>
  <si>
    <t>n. 游標</t>
  </si>
  <si>
    <t>Move the cursor to the beginning of the line.</t>
  </si>
  <si>
    <t>pointer</t>
  </si>
  <si>
    <t>n. 指針；指示物；提示；（電腦）滑鼠指標</t>
  </si>
  <si>
    <t>1. The pointer on the screen shows where you are typing. 2. The teacher gave us some useful pointers for the exam.</t>
  </si>
  <si>
    <t>insolvent</t>
  </si>
  <si>
    <t>adj. 無力償債的；破產的</t>
  </si>
  <si>
    <t>1. The company became insolvent after years of losses. 2. An insolvent business may need to be restructured.</t>
  </si>
  <si>
    <t>solvent</t>
  </si>
  <si>
    <t>adj. 有償付能力的；不破產的 n. 溶劑（化學）</t>
  </si>
  <si>
    <t>1. The company remains solvent despite the crisis. 2. Acetone is a common industrial solvent.</t>
  </si>
  <si>
    <t>ratify</t>
  </si>
  <si>
    <t>v. 批准；正式確認；追認</t>
  </si>
  <si>
    <t>1. The agreement was ratified by both governments. 2. The board will ratify the decision next week.</t>
  </si>
  <si>
    <t>endorse</t>
  </si>
  <si>
    <t>v. 支持；公開贊同；背書（支票）；推薦</t>
  </si>
  <si>
    <t>1. The organization endorsed the new policy. 2. She endorsed the check before depositing it.</t>
  </si>
  <si>
    <t>veto</t>
  </si>
  <si>
    <t>n./v. 否決權；否決；駁回</t>
  </si>
  <si>
    <t>1. The president has the power to veto the bill. 2. The proposal was vetoed by the board.</t>
  </si>
  <si>
    <t>authority</t>
  </si>
  <si>
    <t>n. 權力；權威；職權；當局；主管機關；專家；權威人士</t>
  </si>
  <si>
    <t>1. The manager has the authority to approve the budget. 2. The local authorities issued a warning. 3. She is an authority on environmental issues.</t>
  </si>
  <si>
    <t>boarding</t>
  </si>
  <si>
    <t>n. 登機；上船；寄宿 adj. 寄宿的</t>
  </si>
  <si>
    <t>1. Boarding will begin at gate 5. 2. She went to a boarding school when she was young.</t>
  </si>
  <si>
    <t>interactive</t>
  </si>
  <si>
    <t>adj. 互動的；互相作用的</t>
  </si>
  <si>
    <t>The website offers an interactive learning experience.</t>
  </si>
  <si>
    <t>two-way</t>
  </si>
  <si>
    <t>adj. 雙向的；雙方的；可往返的</t>
  </si>
  <si>
    <t>1. We have a two-way communication system. 2. The road is a two-way street.</t>
  </si>
  <si>
    <t>noninteractive</t>
  </si>
  <si>
    <t>adj. 非互動的；不需要使用者互動的</t>
  </si>
  <si>
    <t>1. The system runs in a noninteractive mode. 2. This is a noninteractive script for data processing.</t>
  </si>
  <si>
    <t>indicate</t>
  </si>
  <si>
    <t>v. 表明；顯示；指出；示意</t>
  </si>
  <si>
    <t>1. The results indicate a strong improvement. 2. He indicated that he would join the meeting.</t>
  </si>
  <si>
    <t>point out</t>
  </si>
  <si>
    <t>phr. v. 指出；指明；說明</t>
  </si>
  <si>
    <t>1. She pointed out a mistake in the report. 2. The teacher pointed out the importance of practice.</t>
  </si>
  <si>
    <t>accessible</t>
  </si>
  <si>
    <t>adj. 可進入的；可使用的；容易理解的；無障礙的</t>
  </si>
  <si>
    <t>1. The building is accessible to people with disabilities. 2. The information is easy and accessible for beginners.</t>
  </si>
  <si>
    <t>upkeep</t>
  </si>
  <si>
    <t>n. 維護；保養；維持費用</t>
  </si>
  <si>
    <t>1. The upkeep of the building is very expensive. 2. Regular upkeep is necessary to keep the system running smoothly.</t>
  </si>
  <si>
    <t>neglect</t>
  </si>
  <si>
    <t>n./v. 疏忽；忽視；怠慢</t>
  </si>
  <si>
    <t>1. He neglected his health for many years. 2. The building fell into neglect after being abandoned.</t>
  </si>
  <si>
    <t>competitive</t>
  </si>
  <si>
    <t>adj. 有競爭力的；競爭的；好勝的</t>
  </si>
  <si>
    <t>1. The company offers competitive prices. 2. The job market is very competitive.</t>
  </si>
  <si>
    <t>aggressive</t>
  </si>
  <si>
    <t>adj. 侵略性的；好鬥的；強勢的；積極進取的</t>
  </si>
  <si>
    <t>1. The dog became aggressive when approached. 2. The company adopted an aggressive marketing strategy.</t>
  </si>
  <si>
    <t>database</t>
  </si>
  <si>
    <t>n. 資料庫</t>
  </si>
  <si>
    <t>All customer information is stored in a database.</t>
  </si>
  <si>
    <t>motorway</t>
  </si>
  <si>
    <t>n. 高速公路</t>
  </si>
  <si>
    <t>The accident happened on the motorway.</t>
  </si>
  <si>
    <t>curriculum</t>
  </si>
  <si>
    <t>n. 課程；課程綱要；教學內容</t>
  </si>
  <si>
    <t>1. The school has updated its curriculum. 2. The curriculum includes science, math, and language studies.</t>
  </si>
  <si>
    <t>compensate</t>
  </si>
  <si>
    <t>v. 補償；賠償；彌補</t>
  </si>
  <si>
    <t>1. The company compensated the customers for the delay. 2. Nothing can compensate for the loss of valuable time.</t>
  </si>
  <si>
    <t>explanatory</t>
  </si>
  <si>
    <t>adj. 解釋性的；說明用的</t>
  </si>
  <si>
    <t>1. The report includes an explanatory note. 2. The teacher gave an explanatory diagram.</t>
  </si>
  <si>
    <t>illustrative</t>
  </si>
  <si>
    <t>adj. 說明性的；作為例證的；圖解的</t>
  </si>
  <si>
    <t>1. The chart is illustrative of recent market trends. 2. She provided illustrative examples to support her argument.</t>
  </si>
  <si>
    <t>descriptive</t>
  </si>
  <si>
    <t>adj. 描述性的；敘述性的</t>
  </si>
  <si>
    <t>1. The report contains descriptive information about the project. 2. She wrote a very descriptive essay about her trip.</t>
  </si>
  <si>
    <t>wind up</t>
  </si>
  <si>
    <t>phr. v. 最終結果是；以…告終；結束；收尾</t>
  </si>
  <si>
    <t>1. We wound up staying at a different hotel. 2. The company will wind up its operations next year.</t>
  </si>
  <si>
    <t>turn out</t>
  </si>
  <si>
    <t>phr. v. 結果是；證明是；出席；到場；生產（製造）</t>
  </si>
  <si>
    <t>1. The meeting turned out to be very successful. 2. A lot of people turned out for the event.</t>
  </si>
  <si>
    <t>zip</t>
  </si>
  <si>
    <t>n. 拉鍊；壓縮檔 v. 拉上拉鍊；壓縮</t>
  </si>
  <si>
    <t>1. I zipped up my jacket. 2. Please zip the files before sending them.</t>
  </si>
  <si>
    <t>youthful</t>
  </si>
  <si>
    <t>adj. 年輕的；充滿活力的；青春的</t>
  </si>
  <si>
    <t>1. She has a youthful appearance. 2. His youthful energy impressed the team.</t>
  </si>
  <si>
    <t>nominee</t>
  </si>
  <si>
    <t>n. 被提名者；候選人；入圍者</t>
  </si>
  <si>
    <t>1. She is a nominee for the best actress award. 2. The nominee must attend the award ceremony.</t>
  </si>
  <si>
    <t>candidacy</t>
  </si>
  <si>
    <t>n. 候選資格；參選；競選資格</t>
  </si>
  <si>
    <t>1. He announced his candidacy for mayor. 2. Her candidacy was supported by many members.</t>
  </si>
  <si>
    <t>effort</t>
  </si>
  <si>
    <t>n. 努力；費力；嘗試</t>
  </si>
  <si>
    <t>He put a lot of effort into the project.</t>
  </si>
  <si>
    <t>endeavor</t>
  </si>
  <si>
    <t>n./v. 努力；嘗試</t>
  </si>
  <si>
    <t>1. They made every endeavor to finish on time. 2. We will endeavor to improve our services.</t>
  </si>
  <si>
    <t>facsimile</t>
  </si>
  <si>
    <t>n. 仿製品；複製品；傳真</t>
  </si>
  <si>
    <t>1. The museum displays a facsimile of the ancient manuscript. 2. Please send a facsimile of the signed document.</t>
  </si>
  <si>
    <t>fax</t>
  </si>
  <si>
    <t>n./v. 傳真</t>
  </si>
  <si>
    <t>1. She faxed the contract to the office. 2. Please send me the document by fax.</t>
  </si>
  <si>
    <t>voucher</t>
  </si>
  <si>
    <t>n. 優惠券；折價券；禮券；憑證；收據</t>
  </si>
  <si>
    <t>1. I used a discount voucher at the store. 2. Please keep the voucher for reimbursement.</t>
  </si>
  <si>
    <t>by way of</t>
  </si>
  <si>
    <t>phr. v. 經由；透過；作為；以…方式</t>
  </si>
  <si>
    <t>1. He sent the package by way of express delivery. 2. By way of introduction, let me explain the agenda.</t>
  </si>
  <si>
    <t>layout</t>
  </si>
  <si>
    <t>n./v. 版面設計；布局；安排</t>
  </si>
  <si>
    <t>1. The website layout is very user-friendly. 2. They will layout the office furniture tomorrow.</t>
  </si>
  <si>
    <t>cut down on</t>
  </si>
  <si>
    <t>phr. v. 減少；縮減</t>
  </si>
  <si>
    <t>We need to cut down on expenses.</t>
  </si>
  <si>
    <t>postcard</t>
  </si>
  <si>
    <t>n. 明信片</t>
  </si>
  <si>
    <t>I sent a postcard from Japan.</t>
  </si>
  <si>
    <t>receptionist</t>
  </si>
  <si>
    <t>n. 接待員；櫃檯人員</t>
  </si>
  <si>
    <t>The receptionist greeted us at the front desk.</t>
  </si>
  <si>
    <t>reorganize</t>
  </si>
  <si>
    <t>v. 重新組織；重新整理；改組</t>
  </si>
  <si>
    <t>1. The company decided to reorganize its departments. 2. She reorganized her schedule to improve efficiency.</t>
  </si>
  <si>
    <t>fad</t>
  </si>
  <si>
    <t>n. 一時流行；短暫風潮</t>
  </si>
  <si>
    <t>This diet is just a passing fad.</t>
  </si>
  <si>
    <t>craze</t>
  </si>
  <si>
    <t>n. 狂熱；一時流行；熱潮</t>
  </si>
  <si>
    <t>There is a new fitness craze in the city.</t>
  </si>
  <si>
    <t>problem-solving</t>
  </si>
  <si>
    <t>n. 解決問題的能力/過程 adj. 解決問題的（能力、技巧）</t>
  </si>
  <si>
    <t>1. Problem-solving is an important skill in the workplace. 2. She has strong problem-solving skills.</t>
  </si>
  <si>
    <t>troubleshoot</t>
  </si>
  <si>
    <t>v. 排除故障；診斷並解決問題</t>
  </si>
  <si>
    <t>The technician helped troubleshoot the system error.</t>
  </si>
  <si>
    <t>replace</t>
  </si>
  <si>
    <t>v. 替換、取代、更換</t>
  </si>
  <si>
    <t>1. We need to replace the old equipment. 2. She replaced him as team leader.</t>
  </si>
  <si>
    <t>restore</t>
  </si>
  <si>
    <t>v. 恢復；修復；還原</t>
  </si>
  <si>
    <t>1. The system was restored after the crash. 2. They restored the old building to its original condition.</t>
  </si>
  <si>
    <t>refurbish</t>
  </si>
  <si>
    <t>v. 翻新；整修；重新裝修</t>
  </si>
  <si>
    <t>The hotel was refurbished last year.</t>
  </si>
  <si>
    <t>renovation</t>
  </si>
  <si>
    <t>n. 翻新；整修；修復工程</t>
  </si>
  <si>
    <t>The building is closed for renovation.</t>
  </si>
  <si>
    <t>downtown</t>
  </si>
  <si>
    <t>n. 市中心 adj. 在市中心；市中心的</t>
  </si>
  <si>
    <t>1. We went downtown for shopping. 2. The hotel is located in the downtown area.</t>
  </si>
  <si>
    <t>commission</t>
  </si>
  <si>
    <t>n. 佣金；委員會；授權 v. 委託製作；任命；授權</t>
  </si>
  <si>
    <t>1. She earns a commission on every sale. 2. The company commissioned a new report.</t>
  </si>
  <si>
    <t>security</t>
  </si>
  <si>
    <t>n. 安全；保安；保障；證券</t>
  </si>
  <si>
    <t>Security is very strict at the airport.</t>
  </si>
  <si>
    <t>organize</t>
  </si>
  <si>
    <t>v. 組織；整理；安排；籌辦</t>
  </si>
  <si>
    <t>1. We need to organize the files properly. 2. They organized a charity event.</t>
  </si>
  <si>
    <t>disarrange</t>
  </si>
  <si>
    <t>v. 弄亂；打亂；使無序</t>
  </si>
  <si>
    <t>1. The strong wind disarranged the papers on the desk. 2. His schedule was completely disarranged by the delay.</t>
  </si>
  <si>
    <t>intercom</t>
  </si>
  <si>
    <t>n. 對講機；內部通話系統</t>
  </si>
  <si>
    <t>The office uses an intercom system for communication.</t>
  </si>
  <si>
    <t>handbook</t>
  </si>
  <si>
    <t>n. 手冊；指南；便覽</t>
  </si>
  <si>
    <t>Please read the employee handbook carefully.</t>
  </si>
  <si>
    <t>clerk</t>
  </si>
  <si>
    <t>n. 職員；辦事員；店員；書記</t>
  </si>
  <si>
    <t>1. The clerk helped me find the right product. 2. She works as a clerk in a bank.</t>
  </si>
  <si>
    <t>patron</t>
  </si>
  <si>
    <t>n. 顧客；常客；贊助人；資助者</t>
  </si>
  <si>
    <t>1. The restaurant is popular among regular patrons. 2. The museum is supported by wealthy patrons.</t>
  </si>
  <si>
    <t>terrace</t>
  </si>
  <si>
    <t>n. 露台；平台；排屋；階梯式建築；梯田</t>
  </si>
  <si>
    <t>1. We had coffee on the terrace. 2. The house has a small garden terrace.</t>
  </si>
  <si>
    <t>courtyard</t>
  </si>
  <si>
    <t>n. 庭院；中庭；院子</t>
  </si>
  <si>
    <t>1. The hotel has a beautiful courtyard. 2. Students gathered in the courtyard during lunch.</t>
  </si>
  <si>
    <t>anticipate</t>
  </si>
  <si>
    <t>v. 預期；預料；期待；預先處理</t>
  </si>
  <si>
    <t>1. We anticipate an increase in demand next year. 2. She anticipated his reaction and prepared accordingly.</t>
  </si>
  <si>
    <t>await</t>
  </si>
  <si>
    <t>v. 等待；等候</t>
  </si>
  <si>
    <t>We await your response.</t>
  </si>
  <si>
    <t>dread</t>
  </si>
  <si>
    <t xml:space="preserve">v./n. 害怕；畏懼；恐懼 </t>
  </si>
  <si>
    <t>1. She dreaded the final exam. 2. He faced the interview with dread.</t>
  </si>
  <si>
    <t>delegation</t>
  </si>
  <si>
    <t>n. 委任；授權；代表團；代表小組</t>
  </si>
  <si>
    <t>1. Effective delegation improves productivity. 2. A delegation from Japan visited the company.</t>
  </si>
  <si>
    <t>committee</t>
  </si>
  <si>
    <t>n. 委員會；專門小組</t>
  </si>
  <si>
    <t>The committee will review the proposal.</t>
  </si>
  <si>
    <t>customs</t>
  </si>
  <si>
    <t>n. 海關；關稅；習俗</t>
  </si>
  <si>
    <t>1. We had to go through customs at the airport. 2. Different countries have different customs.</t>
  </si>
  <si>
    <t>equity</t>
  </si>
  <si>
    <t>n. 公平；公正；股權；淨值（財務）；所有權權益</t>
  </si>
  <si>
    <t>1. The company promotes equity in the workplace. 2. He holds equity in the startup.</t>
  </si>
  <si>
    <t>fairness</t>
  </si>
  <si>
    <t>n. 公平；公正；合理性</t>
  </si>
  <si>
    <t>1. The system ensures fairness for all employees. 2. She questioned the fairness of the decision.</t>
  </si>
  <si>
    <t>snack</t>
  </si>
  <si>
    <t>n. 零食；點心；輕食</t>
  </si>
  <si>
    <t>We bought some snacks for the trip.</t>
  </si>
  <si>
    <t>obligatory</t>
  </si>
  <si>
    <t>adj. 強制的；義務的；必須的</t>
  </si>
  <si>
    <t xml:space="preserve">Attendance at the training session is obligatory. </t>
  </si>
  <si>
    <t>compulsory</t>
  </si>
  <si>
    <t>adj. 強制的；必修的；義務的</t>
  </si>
  <si>
    <t xml:space="preserve">1. Wearing a helmet is compulsory for motorcyclists. 2.English is a compulsory subject in many schools. </t>
  </si>
  <si>
    <t>litigation</t>
  </si>
  <si>
    <t>n. 訴訟；打官司；法律爭訟</t>
  </si>
  <si>
    <t>The company is involved in ongoing litigation.</t>
  </si>
  <si>
    <t>lawsuit</t>
  </si>
  <si>
    <t>n. 訴訟；官司</t>
  </si>
  <si>
    <t>The company filed a lawsuit against its competitor.</t>
  </si>
  <si>
    <t>retailer</t>
  </si>
  <si>
    <t>n. 零售商；零售業者</t>
  </si>
  <si>
    <t>The retailer offers discounts on electronics.</t>
  </si>
  <si>
    <t>attraction</t>
  </si>
  <si>
    <t>n. 吸引力；魅力；景點；名勝；吸引人的事物</t>
  </si>
  <si>
    <t>1. The city’s main attraction is the old castle. 2. She felt a strong attraction to the new idea.</t>
  </si>
  <si>
    <t>appeal</t>
  </si>
  <si>
    <t>n. 吸引力；訴求；上訴 v. 吸引；懇求；上訴</t>
  </si>
  <si>
    <t>1. The new design has strong visual appeal. 2. The company appealed the court’s decision.</t>
  </si>
  <si>
    <t>deal with</t>
  </si>
  <si>
    <t>phr. v. 處理；應付；對付；涉及</t>
  </si>
  <si>
    <t>1. We need to deal with this problem immediately. 2. She deals with customer complaints every day.</t>
  </si>
  <si>
    <t>tackle</t>
  </si>
  <si>
    <t>v. 處理；應對；（運動）擒抱、攔截 n. 裝備；用具（釣魚／運動）</t>
  </si>
  <si>
    <t>1. We need to tackle the issue immediately. 2. The team is trying to tackle climate change.</t>
  </si>
  <si>
    <t>ignore</t>
  </si>
  <si>
    <t>v. 忽視；不理會；無視</t>
  </si>
  <si>
    <t>You should not ignore safety warnings.</t>
  </si>
  <si>
    <t>exhibit</t>
  </si>
  <si>
    <t>v. 展出；展示；表現出 n. 展覽品；證物；展品</t>
  </si>
  <si>
    <t>1. The museum will exhibit ancient artifacts. 2. The exhibit attracted many visitors.</t>
  </si>
  <si>
    <t>conceal</t>
  </si>
  <si>
    <t>v. 隱藏；隱瞞；掩蓋</t>
  </si>
  <si>
    <t>1. He tried to conceal the truth from his family. 2. The document was concealed inside a drawer.</t>
  </si>
  <si>
    <t>listing</t>
  </si>
  <si>
    <t>n. 清單；列表；（特定資訊，如房屋、工作、商品的）登錄資料</t>
  </si>
  <si>
    <t>1. I checked the job listings online. 2. The website has property listings for rent.</t>
  </si>
  <si>
    <t>segment</t>
  </si>
  <si>
    <t>n. 部分；片段；區塊；市場區隔 v. 分割；劃分</t>
  </si>
  <si>
    <t>1. The market is divided into different segments. 2. The video is segmented into short clips.</t>
  </si>
  <si>
    <t>section</t>
  </si>
  <si>
    <t>n. 部分；章節；部門；區域</t>
  </si>
  <si>
    <t>1. Please read section 3 of the report. 2. She works in the finance section.</t>
  </si>
  <si>
    <t>segmentation</t>
  </si>
  <si>
    <t>n. 分割；劃分；市場區隔化</t>
  </si>
  <si>
    <t>1. Market segmentation helps companies target customers more effectively. 2. The segmentation of data improves analysis accuracy.</t>
  </si>
  <si>
    <t>liability</t>
  </si>
  <si>
    <t>n. 責任；法律責任；負債；債務；累贅；不利因素</t>
  </si>
  <si>
    <t>1. The company accepted full liability for the accident. 2. The firm has large liabilities on its balance sheet.</t>
  </si>
  <si>
    <t>asset</t>
  </si>
  <si>
    <t>n. 資產；財產；有價值的東西；優勢；長處</t>
  </si>
  <si>
    <t>1. The company’s assets include buildings and equipment. 2. Her language skills are a real asset to the team.</t>
  </si>
  <si>
    <t>liable</t>
  </si>
  <si>
    <t>adj. 有責任的；需負法律責任的；可能會</t>
  </si>
  <si>
    <t>1. The company is liable for any damages. 2. The road is liable to flood during heavy rain.</t>
  </si>
  <si>
    <t>occupant</t>
  </si>
  <si>
    <t>n. 居住者；佔用者；使用者</t>
  </si>
  <si>
    <t>1. The building has no occupants at the moment. 2. All occupants must evacuate the room immediately.</t>
  </si>
  <si>
    <t>vacancy</t>
  </si>
  <si>
    <t>n. 空缺；職缺；空房；空位；空置狀態</t>
  </si>
  <si>
    <t>1. There is a job vacancy in the marketing department. 2. The hotel has no vacancies tonight.</t>
  </si>
  <si>
    <t>loyalty</t>
  </si>
  <si>
    <t>n. 忠誠；忠心；忠實度</t>
  </si>
  <si>
    <t>Customer loyalty is important for business success.</t>
  </si>
  <si>
    <t>faithfulness</t>
  </si>
  <si>
    <t>n. 忠誠；忠實；忠貞</t>
  </si>
  <si>
    <t>The dog is known for its faithfulness to its owner.</t>
  </si>
  <si>
    <t>allegiance</t>
  </si>
  <si>
    <t>n. 效忠；忠誠；忠心擁護</t>
  </si>
  <si>
    <t>He swore allegiance to the country.</t>
  </si>
  <si>
    <t>treachery</t>
  </si>
  <si>
    <t>n. 背叛；不忠；叛逆行為</t>
  </si>
  <si>
    <t>He was accused of treachery against his country.</t>
  </si>
  <si>
    <t>graphic</t>
  </si>
  <si>
    <t>adj. 圖像的；生動的；（描述）清晰逼真的 n. 圖形；圖像</t>
  </si>
  <si>
    <t>1. The report includes graphic illustrations. 2. The movie contains some graphic scenes.</t>
  </si>
  <si>
    <t>visual</t>
  </si>
  <si>
    <t>adj. 視覺的；視覺上的 n. 視覺材料</t>
  </si>
  <si>
    <t xml:space="preserve">1. The presentation includes strong visual elements. 2. Students learn better with visual aids. </t>
  </si>
  <si>
    <t>diagrammatic</t>
  </si>
  <si>
    <t>adj. 圖解的；以圖表表示的；示意圖式的</t>
  </si>
  <si>
    <t>1. The manual provides a diagrammatic explanation of the system. 2. The process is shown in a diagrammatic form.</t>
  </si>
  <si>
    <t>matter</t>
  </si>
  <si>
    <t>n. 事情；問題；物質 v. 有關係；要緊</t>
  </si>
  <si>
    <t>1. What’s the matter? 2. It doesn’t matter to me.</t>
  </si>
  <si>
    <t>weight</t>
  </si>
  <si>
    <t>n. 重量；體重；分量 v. 加重；使有重量；權衡</t>
  </si>
  <si>
    <t>1. What is your weight? 2. The package weighs two kilograms.</t>
  </si>
  <si>
    <t>heaviness</t>
  </si>
  <si>
    <t>n. 沉重；重量感；沉悶；憂鬱</t>
  </si>
  <si>
    <t>1. I felt the heaviness of the box when I lifted it. 2. There was a heaviness in the atmosphere after the news.</t>
  </si>
  <si>
    <t>underway</t>
  </si>
  <si>
    <t>adj./adv. 已在進行中；開始進行</t>
  </si>
  <si>
    <t>1. The project is already underway. 2. Construction work is underway at the site.</t>
  </si>
  <si>
    <t>short-handed</t>
  </si>
  <si>
    <t>adj. 人手不足的；缺人的</t>
  </si>
  <si>
    <t>The restaurant is short-handed tonight.</t>
  </si>
  <si>
    <t>overstaffed</t>
  </si>
  <si>
    <t>adj. 人員過多的；人手過剩的</t>
  </si>
  <si>
    <t>The company became overstaffed after the expansion.</t>
  </si>
  <si>
    <t>teller</t>
  </si>
  <si>
    <t>n. 銀行櫃員；出納員</t>
  </si>
  <si>
    <t>The teller helped me withdraw money.</t>
  </si>
  <si>
    <t>telecommuter</t>
  </si>
  <si>
    <t>n. 遠距工作者；在家或遠端通勤工作的人</t>
  </si>
  <si>
    <t>She works as a telecommuter from home.</t>
  </si>
  <si>
    <t>housekeep</t>
  </si>
  <si>
    <t>v. 做家務；維持整潔；內務管理</t>
  </si>
  <si>
    <t>She housekeeps while working part-time.</t>
  </si>
  <si>
    <t>tidy up</t>
  </si>
  <si>
    <t>phr. v. 整理；收拾乾淨；使整齊</t>
  </si>
  <si>
    <t>1. Please tidy up your room. 2. We need to tidy up before the guests arrive.</t>
  </si>
  <si>
    <t>duty</t>
  </si>
  <si>
    <t>n. 職責；義務；稅；關稅；值班；勤務</t>
  </si>
  <si>
    <t xml:space="preserve">1. It is your duty to report the problem. 2. Customs duty must be paid at the border. </t>
  </si>
  <si>
    <t>levy</t>
  </si>
  <si>
    <t>v. 徵收（稅、費用）；課徵 n. 徵收的稅款；課稅行為</t>
  </si>
  <si>
    <t>1. The government levied a tax on luxury goods. 2. A new levy was introduced on fuel.</t>
  </si>
  <si>
    <t>plea</t>
  </si>
  <si>
    <t>n. 懇求；請求；（法律）抗辯；答辯</t>
  </si>
  <si>
    <t>1. He made a plea for help. 2. The defendant entered a guilty plea.</t>
  </si>
  <si>
    <t>petition</t>
  </si>
  <si>
    <t>n. 請願書；請願 v. 請願；正式請求</t>
  </si>
  <si>
    <t>1. They signed a petition against the new law. 2. The citizens petitioned the government for change.</t>
  </si>
  <si>
    <t>hallway</t>
  </si>
  <si>
    <t>n. 走廊；通道；玄關</t>
  </si>
  <si>
    <t>1. The rooms are connected by a long hallway. 2. She waited in the hallway outside the office.</t>
  </si>
  <si>
    <t>corridor</t>
  </si>
  <si>
    <t>n. 走廊；通道；（較長或公共建築內的）通路</t>
  </si>
  <si>
    <t>1. The office rooms are along the corridor. 2. Please keep the corridor clear.</t>
  </si>
  <si>
    <t>passage</t>
  </si>
  <si>
    <t>n. 通道；走廊；段落；文章節選；通過；經過</t>
  </si>
  <si>
    <t>1. The narrow passage leads to the courtyard. 2. Please read the passage and answer the questions.</t>
  </si>
  <si>
    <t>amenity</t>
  </si>
  <si>
    <t>n. 便利設施；生活配套設備（如健身房、Wi-Fi等）；舒適；便利；宜人條件</t>
  </si>
  <si>
    <t>1. The hotel offers many modern amenities. 2. The apartment lacks basic amenities.</t>
  </si>
  <si>
    <t>facilitate</t>
  </si>
  <si>
    <t>v. 促進；使容易；協助進行</t>
  </si>
  <si>
    <t>1. Technology can facilitate communication. 2. The manager facilitated the discussion between teams.</t>
  </si>
  <si>
    <t>accommodate</t>
  </si>
  <si>
    <t>v. 容納；提供住宿；迎合；配合；適應；為…提供方便</t>
  </si>
  <si>
    <t>1. The hotel can accommodate up to 200 guests. 2. We will try to accommodate your request.</t>
  </si>
  <si>
    <t>operating</t>
  </si>
  <si>
    <t>adj. 運作中的；營運的；操作的</t>
  </si>
  <si>
    <t>1. The company reduced its operating costs. 2. The machine is operating normally.</t>
  </si>
  <si>
    <t>referral</t>
  </si>
  <si>
    <t>n. 轉介；推薦；被轉介的人或案件</t>
  </si>
  <si>
    <t>1. Most of our clients come through referrals. 2. The doctor gave me a referral to a specialist.</t>
  </si>
  <si>
    <t>deduction</t>
  </si>
  <si>
    <t>n. 扣除；扣減額；推論；演繹推理</t>
  </si>
  <si>
    <t>1. There was a tax deduction on my paycheck. 2. He reached that conclusion by logical deduction.</t>
  </si>
  <si>
    <t>subtraction</t>
  </si>
  <si>
    <t>n. 減法；減少；扣除</t>
  </si>
  <si>
    <t>1. Children learn addition and subtraction in school. 2. The subtraction of costs reduced the profit.</t>
  </si>
  <si>
    <t>deduct</t>
  </si>
  <si>
    <t xml:space="preserve">v. 扣除；減去；推論出 </t>
  </si>
  <si>
    <t>1. The company will deduct taxes from your salary. 2. We can deduct the answer from the data.</t>
  </si>
  <si>
    <t>commensurate</t>
  </si>
  <si>
    <t>adj. 相稱的；成比例的；與…相當的</t>
  </si>
  <si>
    <t>1. Salary should be commensurate with experience. 2. The rewards were commensurate with the effort involved.</t>
  </si>
  <si>
    <t>proportionate</t>
  </si>
  <si>
    <t>adj. 成比例的；相稱的；均衡的</t>
  </si>
  <si>
    <t>1. The punishment should be proportionate to the crime. 2. Costs increased in proportionate amounts.</t>
  </si>
  <si>
    <t>equivalent</t>
  </si>
  <si>
    <t>adj. 相等的；等值的；相當於的 n. 對等物；等同的人或事物</t>
  </si>
  <si>
    <t>1. This qualification is equivalent to a bachelor’s degree. 2. One dollar is roughly equivalent to thirty Taiwan dollars.</t>
  </si>
  <si>
    <t>contend</t>
  </si>
  <si>
    <t>v. 主張；聲稱；奮力對抗；競爭；斗爭；應付困難</t>
  </si>
  <si>
    <t>1. Experts contend that climate change is accelerating. 2. The team will contend for the championship.</t>
  </si>
  <si>
    <t>cooperate</t>
  </si>
  <si>
    <t>v. 合作；配合；協力</t>
  </si>
  <si>
    <t>1. We need to cooperate to finish the project. 2. The company cooperates with several international partners.</t>
  </si>
  <si>
    <t>acceptance</t>
  </si>
  <si>
    <t>n. 接受；承認；同意</t>
  </si>
  <si>
    <t>1. The acceptance of the offer was confirmed. 2. She gained acceptance into the program.</t>
  </si>
  <si>
    <t>approval</t>
  </si>
  <si>
    <t>n. 批准；核准；贊同；認可</t>
  </si>
  <si>
    <t>1. The plan needs management approval. 2. She nodded in approval.</t>
  </si>
  <si>
    <t>adoption</t>
  </si>
  <si>
    <t>n. 採用；採納；領養；接受並使用</t>
  </si>
  <si>
    <t>1. The adoption of new technology improved efficiency. 2. They are considering the adoption of a child.</t>
  </si>
  <si>
    <t>refusal</t>
  </si>
  <si>
    <t>n. 拒絕；否決；回絕</t>
  </si>
  <si>
    <t>1. His refusal to cooperate caused delays. 2. The company received a refusal from the client.</t>
  </si>
  <si>
    <t>additionally</t>
  </si>
  <si>
    <t>adv. 此外；另外；再者</t>
  </si>
  <si>
    <t>1. Additionally, we offer free shipping. 2. The course includes theory and, additionally, practical training.</t>
  </si>
  <si>
    <t>moreover</t>
  </si>
  <si>
    <t>adv. 此外；而且；再者</t>
  </si>
  <si>
    <t>1. The product is affordable; moreover, it is high quality. 2. He is experienced; moreover, he is very reliable.</t>
  </si>
  <si>
    <t>furthermore</t>
  </si>
  <si>
    <t>adv. 此外；而且；進一步地</t>
  </si>
  <si>
    <t>1. The plan is cost-effective; furthermore, it is easy to implement. 2. She is highly qualified; furthermore, she has years of experience.</t>
  </si>
  <si>
    <t>banner</t>
  </si>
  <si>
    <t>n. 橫幅；旗幟；廣告橫幅</t>
  </si>
  <si>
    <t>1. A large banner was hung across the street. 2. The website displays a banner advertisement.</t>
  </si>
  <si>
    <t>poster</t>
  </si>
  <si>
    <t>n. 海報；張貼畫</t>
  </si>
  <si>
    <t>1. We put a poster on the wall. 2. The movie poster attracted many people.</t>
  </si>
  <si>
    <t>sign</t>
  </si>
  <si>
    <t>n. 標誌；符號；徵兆；招牌 v. 簽名；簽署；示意</t>
  </si>
  <si>
    <t>1. There is a stop sign at the corner. 2. Please sign your name here.</t>
  </si>
  <si>
    <t>negotiation</t>
  </si>
  <si>
    <t>n. 協商；談判；磋商</t>
  </si>
  <si>
    <t>1. The negotiation between the two companies lasted for hours. 2. Successful negotiation requires good communication skills.</t>
  </si>
  <si>
    <t>beginner</t>
  </si>
  <si>
    <t>n. 初學者；新手</t>
  </si>
  <si>
    <t>1. This course is suitable for beginners. 2. I am just a beginner in programming.</t>
  </si>
  <si>
    <t>novice</t>
  </si>
  <si>
    <t>n. 新手；初學者；生手</t>
  </si>
  <si>
    <t>1. He is still a novice in trading. 2. The system is easy enough for novices to use.</t>
  </si>
  <si>
    <t>starter</t>
  </si>
  <si>
    <t>n. 初學者；入門者；前菜；開胃菜；啟動裝置 adj. 入門的；初級的</t>
  </si>
  <si>
    <t>1. This course is designed for starters. 2. We ordered a salad as a starter.</t>
  </si>
  <si>
    <t>vibrant</t>
  </si>
  <si>
    <t>adj. 充滿活力的；生氣勃勃的；鮮豔的；鮮明的；強烈而有感染力的</t>
  </si>
  <si>
    <t>1. The city has a vibrant nightlife. 2. She wore a vibrant red dress.</t>
  </si>
  <si>
    <t>bright</t>
  </si>
  <si>
    <t>adj. 明亮的；光亮的；聰明的；有才智的；鮮豔的；清晰的</t>
  </si>
  <si>
    <t>1. The room is bright and spacious. 2. She is a bright student.</t>
  </si>
  <si>
    <t>hygiene</t>
  </si>
  <si>
    <t>n. 衛生；保健；衛生習慣</t>
  </si>
  <si>
    <t>1. Good hygiene is important for health. 2. The restaurant follows strict hygiene standards.</t>
  </si>
  <si>
    <t>neatness</t>
  </si>
  <si>
    <t>n. 整潔；整齊；乾淨有序的狀態</t>
  </si>
  <si>
    <t>1. The teacher praised the neatness of his handwriting. 2. Neatness is important in the workplace.</t>
  </si>
  <si>
    <t>dirtiness</t>
  </si>
  <si>
    <t>n. 骯髒；不潔；污穢狀態</t>
  </si>
  <si>
    <t>1. The dirtiness of the room surprised us. 2. He complained about the dirtiness of the streets.</t>
  </si>
  <si>
    <t>certified</t>
  </si>
  <si>
    <t>adj. 已認證的；合格的</t>
  </si>
  <si>
    <t>1. She is a certified accountant. 2. The document is certified by the government.</t>
  </si>
  <si>
    <t>pamphlet</t>
  </si>
  <si>
    <t>n. 小冊子；宣傳手冊；簡介手冊</t>
  </si>
  <si>
    <t>1. The pamphlet explains the new policy. 2. We received a travel pamphlet at the hotel.</t>
  </si>
  <si>
    <t>aesthetic</t>
  </si>
  <si>
    <t>adj. 美學的；有美感的；審美的 n. 美感；審美觀；美學</t>
  </si>
  <si>
    <t>1. The design has a clean aesthetic. 2. The building combines function and aesthetic.</t>
  </si>
  <si>
    <t>cooler</t>
  </si>
  <si>
    <t>n. 冷卻器；冰桶；冷藏箱</t>
  </si>
  <si>
    <t>We put drinks in the cooler.</t>
  </si>
  <si>
    <t>definite</t>
  </si>
  <si>
    <t>adj. 明確的；確定的；清楚的</t>
  </si>
  <si>
    <t>1. We need a definite answer by tomorrow. 2. There is no definite plan yet.</t>
  </si>
  <si>
    <t>vague</t>
  </si>
  <si>
    <t>adj. 模糊的；不清楚的；含糊的</t>
  </si>
  <si>
    <t>1. His explanation was vague and confusing. 2. I have a vague idea of what happened.</t>
  </si>
  <si>
    <t>subsequently</t>
  </si>
  <si>
    <t>adv. 隨後；接著；之後</t>
  </si>
  <si>
    <t>1. The company was founded in 2010 and subsequently expanded overseas. 2. He moved to Japan and subsequently started a new job.</t>
  </si>
  <si>
    <t>careless</t>
  </si>
  <si>
    <t>adj. 粗心的；不小心的；馬虎的</t>
  </si>
  <si>
    <t>1. He made a careless mistake on the exam. 2. Careless driving can lead to accidents.</t>
  </si>
  <si>
    <t>sloppy</t>
  </si>
  <si>
    <t>adj. 馬虎的；草率的；邋遢的；不整潔的</t>
  </si>
  <si>
    <t>1. He did a sloppy job on the report. 2. Her handwriting is sloppy and hard to read.</t>
  </si>
  <si>
    <t>cautious</t>
  </si>
  <si>
    <t>adj. 謹慎的；小心的；慎重的</t>
  </si>
  <si>
    <t>1. He is cautious about investing money. 2. Be cautious when driving in the rain.</t>
  </si>
  <si>
    <t>traffic</t>
  </si>
  <si>
    <t>n. 交通；車流；流量（道路或網路）</t>
  </si>
  <si>
    <t>1. The traffic is heavy during rush hour. 2. There is a lot of traffic on the highway.</t>
  </si>
  <si>
    <t>prioritize</t>
  </si>
  <si>
    <t>v. 優先處理；優先考慮；按重要性排序</t>
  </si>
  <si>
    <t>1. You should prioritize urgent tasks. 2. The company prioritizes customer satisfaction.</t>
  </si>
  <si>
    <t>fall through</t>
  </si>
  <si>
    <t>phr. v. 失敗；落空；未能實現</t>
  </si>
  <si>
    <t>The deal fell through at the last minute.</t>
  </si>
  <si>
    <t>collapse</t>
  </si>
  <si>
    <t>v./n. 倒塌；崩潰；瓦解；衰竭</t>
  </si>
  <si>
    <t>1. The building collapsed after the earthquake. 2. He collapsed from exhaustion.</t>
  </si>
  <si>
    <t>salon</t>
  </si>
  <si>
    <t>n. 美容院；髮廊；沙龍</t>
  </si>
  <si>
    <t>She went to the salon to get a haircut.</t>
  </si>
  <si>
    <t>revenue</t>
  </si>
  <si>
    <t>n. 收入；營收；收益（特別指公司或政府的總收入）</t>
  </si>
  <si>
    <t>1. The company’s revenue increased this year. 2. Tax revenue is used for public services.</t>
  </si>
  <si>
    <t>selling</t>
  </si>
  <si>
    <t xml:space="preserve">n. 銷售（行為）adj. 暢銷的 </t>
  </si>
  <si>
    <t>1. The selling of products increased last month. 2. This is the best-selling book of the year.</t>
  </si>
  <si>
    <t>reform</t>
  </si>
  <si>
    <t>v./n. 改革；改良；改造</t>
  </si>
  <si>
    <t>1. The government plans to reform the education system. 2. Economic reform is necessary for growth.</t>
  </si>
  <si>
    <t>guideline</t>
  </si>
  <si>
    <t>n. 指導方針；準則；指引</t>
  </si>
  <si>
    <t>1. Follow the safety guidelines carefully. 2. The company issued new guidelines for employees.</t>
  </si>
  <si>
    <t>inactive</t>
  </si>
  <si>
    <t>adj. 不活躍的；未運作的；閒置的</t>
  </si>
  <si>
    <t>1. The account has been inactive for a long time. 2. The machine is currently inactive.</t>
  </si>
  <si>
    <t>idle</t>
  </si>
  <si>
    <t>adj. 閒置的；空閒的；無所事事的 v. 使閒置；空轉</t>
  </si>
  <si>
    <t>1. The machines have been idle for hours. 2. Don’t let the engine idle for too long.</t>
  </si>
  <si>
    <t>dormant</t>
  </si>
  <si>
    <t xml:space="preserve">adj. 休眠的；潛伏的；暫時不活躍的 </t>
  </si>
  <si>
    <t>1. The volcano has been dormant for centuries. 2. The project remained dormant for several years.</t>
  </si>
  <si>
    <t>fasten</t>
  </si>
  <si>
    <t>v. 扣緊；繫緊；固定；使附著；連接</t>
  </si>
  <si>
    <t>1. Please fasten your seatbelt. 2. He fastened the button on his coat.</t>
  </si>
  <si>
    <t>compress</t>
  </si>
  <si>
    <t>v. 壓縮；擠壓；縮小體積</t>
  </si>
  <si>
    <t>1. The machine compresses the air into a small tank. 2. You should compress the file before sending it.</t>
  </si>
  <si>
    <t>designated</t>
  </si>
  <si>
    <t>adj. 指定的；被指派的</t>
  </si>
  <si>
    <t>1. Smoking is allowed only in designated areas. 2. He was designated as team leader.</t>
  </si>
  <si>
    <t>complaint</t>
  </si>
  <si>
    <t>n. 抱怨；不滿；投訴；申訴</t>
  </si>
  <si>
    <t>The customer filed a complaint about the service.</t>
  </si>
  <si>
    <t>grievance</t>
  </si>
  <si>
    <t>n. 不滿；委屈；抱怨事項</t>
  </si>
  <si>
    <t>1. The employee filed a grievance against the company. 2. He has a grievance about unfair treatment.</t>
  </si>
  <si>
    <t>criticism</t>
  </si>
  <si>
    <t>n. 批評；評論；評價；指責；非難</t>
  </si>
  <si>
    <t>1. The plan received a lot of criticism. 2. She handled criticism very well.</t>
  </si>
  <si>
    <t>praise</t>
  </si>
  <si>
    <t>n./v. 讚美；稱讚</t>
  </si>
  <si>
    <t>1. The teacher praised the students for their effort. 2. She received praise for her excellent performance.</t>
  </si>
  <si>
    <t>compliment</t>
  </si>
  <si>
    <t>1. She received many compliments on her dress. 2. He complimented me on my presentation.</t>
  </si>
  <si>
    <t>vacate</t>
  </si>
  <si>
    <t>v. 搬離；空出；取消；撤銷</t>
  </si>
  <si>
    <t>1. You must vacate the room by noon. 2. The court vacated the previous ruling.</t>
  </si>
  <si>
    <t>edge</t>
  </si>
  <si>
    <t>n. 邊緣；刀刃；優勢 v. 緩慢移動；逐漸靠近</t>
  </si>
  <si>
    <t>1. Be careful near the edge of the cliff. 2. The company has a technological edge over its competitors.</t>
  </si>
  <si>
    <t>drawback</t>
  </si>
  <si>
    <t>n. 缺點；不利條件；障礙</t>
  </si>
  <si>
    <t>1. The main drawback of the system is its high cost. 2. A major drawback is the lack of experience.</t>
  </si>
  <si>
    <t>hospitality</t>
  </si>
  <si>
    <t>n. 好客；殷勤款待；服務業</t>
  </si>
  <si>
    <t>1. We were impressed by their hospitality. 2. She works in the hospitality industry.</t>
  </si>
  <si>
    <t>durability</t>
  </si>
  <si>
    <t>n. 耐久性；耐用性</t>
  </si>
  <si>
    <t>1. The durability of the material makes it ideal for outdoor use. 2. Customers value the durability of this product.</t>
  </si>
  <si>
    <t>sturdiness</t>
  </si>
  <si>
    <t>n. 堅固；結實；牢固性</t>
  </si>
  <si>
    <t>1. The sturdiness of the table makes it suitable for heavy use. 2. We tested the sturdiness of the structure.</t>
  </si>
  <si>
    <t>fragility</t>
  </si>
  <si>
    <t>n. 脆弱；易碎性；虛弱</t>
  </si>
  <si>
    <t>1. The fragility of glass makes it easy to break. 2. The fragility of the economy worried investors.</t>
  </si>
  <si>
    <t>specify</t>
  </si>
  <si>
    <t>v. 明確說明；詳細規定；指定</t>
  </si>
  <si>
    <t>1. Please specify your requirements. 2. The contract specifies the delivery date.</t>
  </si>
  <si>
    <t>provider</t>
  </si>
  <si>
    <t>n. 提供者；供應者；服務商</t>
  </si>
  <si>
    <t>1. The company is a leading internet service provider. 2. He is the main provider for his family.</t>
  </si>
  <si>
    <t>harmful</t>
  </si>
  <si>
    <t>adj. 有害的；有損害的</t>
  </si>
  <si>
    <t>Smoking is harmful to your health.</t>
  </si>
  <si>
    <t>apparatus</t>
  </si>
  <si>
    <t>n. 設備；器材；裝置</t>
  </si>
  <si>
    <t>1. The laboratory is equipped with advanced apparatus. 2. The apparatus for the experiment must be calibrated carefully.</t>
  </si>
  <si>
    <t>scenic</t>
  </si>
  <si>
    <t>adj. 風景優美的；景色宜人的；舞台背景的；場景的</t>
  </si>
  <si>
    <t>1. The hotel is located in a scenic area. 2. We took a scenic route along the coast.</t>
  </si>
  <si>
    <t>picturesque</t>
  </si>
  <si>
    <t>adj. 風景如畫的；優美的；別緻迷人的</t>
  </si>
  <si>
    <t>1. The village is very picturesque. 2. We stayed in a picturesque town by the lake.</t>
  </si>
  <si>
    <t>inspector</t>
  </si>
  <si>
    <t>n. 檢查員；督察；視察員</t>
  </si>
  <si>
    <t>1. The inspector checked the factory for safety issues. 2. A building inspector approved the construction.</t>
  </si>
  <si>
    <t>registration</t>
  </si>
  <si>
    <t>n. 登記；註冊；報名；登記資料；註冊文件</t>
  </si>
  <si>
    <t>1. Online registration is required for the course. 2. Vehicle registration must be renewed annually.</t>
  </si>
  <si>
    <t>enrollment</t>
  </si>
  <si>
    <t>n. 註冊；登記；入學；（學生）註冊人數</t>
  </si>
  <si>
    <t>1. Enrollment for the course starts next week. 2. The school saw an increase in student enrollment.</t>
  </si>
  <si>
    <t>consequence</t>
  </si>
  <si>
    <t>n. 結果；後果</t>
  </si>
  <si>
    <t>1. He faced the consequences of his actions. 2. As a consequence of the delay, the meeting was postponed.</t>
  </si>
  <si>
    <t>liaison</t>
  </si>
  <si>
    <t>n. 聯絡；聯繫；協調（人員或部門之間）；聯絡人；協調者</t>
  </si>
  <si>
    <t>1. She acts as a liaison between the two departments. 2. The manager maintains close liaison with clients.</t>
  </si>
  <si>
    <t>erase</t>
  </si>
  <si>
    <t>v. 擦掉；抹去；刪除</t>
  </si>
  <si>
    <t>1. Please erase the whiteboard after class. 2. He erased the file from his computer.</t>
  </si>
  <si>
    <t>mattress</t>
  </si>
  <si>
    <t>n. 床墊；床褥</t>
  </si>
  <si>
    <t>I bought a new mattress for my bed.</t>
  </si>
  <si>
    <t>convince</t>
  </si>
  <si>
    <t>v. 說服；使信服</t>
  </si>
  <si>
    <t>1. She convinced me to join the team. 2. It is hard to convince him of the truth.</t>
  </si>
  <si>
    <t>persuade</t>
  </si>
  <si>
    <t>v. 說服；勸說；使相信</t>
  </si>
  <si>
    <t>1. She persuaded him to change his mind. 2. I finally persuaded my boss to approve the plan.</t>
  </si>
  <si>
    <t>assure</t>
  </si>
  <si>
    <t>v. 向…保證；使確信</t>
  </si>
  <si>
    <t>1. I assure you that everything will be fine. 2. The manager assured the client of timely delivery.</t>
  </si>
  <si>
    <t>dissuade</t>
  </si>
  <si>
    <t>v. 勸阻；說服某人不要做某事</t>
  </si>
  <si>
    <t>I tried to dissuade him from quitting his job.</t>
  </si>
  <si>
    <t>surf</t>
  </si>
  <si>
    <t>v. 衝浪；（網路）瀏覽 n. 海浪；衝浪運動</t>
  </si>
  <si>
    <t>1. He loves to surf every weekend. 2. I surfed the internet to find information.</t>
  </si>
  <si>
    <t>obligation</t>
  </si>
  <si>
    <t>n. 義務；責任；約束</t>
  </si>
  <si>
    <t>1. You have an obligation to complete the task. 2. There is no legal obligation to attend the meeting.</t>
  </si>
  <si>
    <t>back up</t>
  </si>
  <si>
    <t>phr. v. 備份；支援；後退 n. 備份；備用資料；支援人員</t>
  </si>
  <si>
    <t>1. You should back up your files regularly. 2. The police arrived as backup.</t>
  </si>
  <si>
    <t>undermine</t>
  </si>
  <si>
    <t>v. 削弱；破壞（信心、權威、基礎等）；暗中損害；逐步侵蝕</t>
  </si>
  <si>
    <t>1. The scandal undermined public trust in the government. 2. Poor communication can undermine teamwork.</t>
  </si>
  <si>
    <t>newsletter</t>
  </si>
  <si>
    <t>n. 電子報；簡訊；通訊刊物（定期發送的資訊）</t>
  </si>
  <si>
    <t>1. I subscribe to the company newsletter. 2. The newsletter provides updates about new products.</t>
  </si>
  <si>
    <t>orderly</t>
  </si>
  <si>
    <t>adj. 有秩序的；整齊的；有條理的 n. 護理員；勤務人員（醫院或軍隊）</t>
  </si>
  <si>
    <t>1. The documents were arranged in an orderly manner. 2. The crowd left the stadium in an orderly way.</t>
  </si>
  <si>
    <t>neatly</t>
  </si>
  <si>
    <t>adv. 整齊地；俐落地；有條理地</t>
  </si>
  <si>
    <t>1. She neatly arranged the books on the shelf. 2. The report was neatly written.</t>
  </si>
  <si>
    <t>messy</t>
  </si>
  <si>
    <t>adj. 凌亂的；髒亂的；難以整理的</t>
  </si>
  <si>
    <t>1. His room is always messy. 2. The project turned into a messy situation.</t>
  </si>
  <si>
    <t>destination</t>
  </si>
  <si>
    <t>n. 目的地；終點；目標地</t>
  </si>
  <si>
    <t>Our destination is Taipei.</t>
  </si>
  <si>
    <t>exceptional</t>
  </si>
  <si>
    <t>adj. 非凡的；傑出的；卓越的；例外的；特殊的</t>
  </si>
  <si>
    <t>1. She has exceptional talent in music. 2. The service at the hotel was exceptional.</t>
  </si>
  <si>
    <t>newly</t>
  </si>
  <si>
    <t>adv. 新近地；剛剛；最近</t>
  </si>
  <si>
    <t>1. She is a newly appointed manager. 2. The building was newly renovated.</t>
  </si>
  <si>
    <t>terminal</t>
  </si>
  <si>
    <t>n. 航廈；總站；終端機；末期病症 adj. 末期的；終點的；致命的</t>
  </si>
  <si>
    <t>1. We arrived at the airport terminal. 2. The patient has a terminal illness.</t>
  </si>
  <si>
    <t>campaign</t>
  </si>
  <si>
    <t>n. 活動；運動；戰役（政治、商業或軍事） v. 參加運動；從事活動</t>
  </si>
  <si>
    <t>1. The company launched a new advertising campaign. 2. They are campaigning for better working conditions.</t>
  </si>
  <si>
    <t>alliance</t>
  </si>
  <si>
    <t>n. 同盟；聯盟；結盟關係</t>
  </si>
  <si>
    <t>1. The two companies formed a strategic alliance. 2. The countries entered into a military alliance.</t>
  </si>
  <si>
    <t>estate</t>
  </si>
  <si>
    <t>n. 地產；房地產；不動產；產業；財產總額；庄園</t>
  </si>
  <si>
    <t>1. He inherited a large estate from his uncle. 2. The company deals in real estate.</t>
  </si>
  <si>
    <t>loan</t>
  </si>
  <si>
    <t>n. 貸款；借款 v. 借出；貸與</t>
  </si>
  <si>
    <t>1. He applied for a bank loan. 2. The library will loan you the book for two weeks.</t>
  </si>
  <si>
    <t>declare</t>
  </si>
  <si>
    <t>v. 宣布；聲明；正式表示；申報</t>
  </si>
  <si>
    <t>1. The company declared its annual revenue. 2. You must declare all items at customs.</t>
  </si>
  <si>
    <t>council</t>
  </si>
  <si>
    <t>n. 委員會；理事會；議會</t>
  </si>
  <si>
    <t>1. The city council approved the new policy. 2. She serves on the student council.</t>
  </si>
  <si>
    <t>proposal</t>
  </si>
  <si>
    <t>n. 提案；建議案；求婚</t>
  </si>
  <si>
    <t>1. The company submitted a proposal for the project. 2. He made a marriage proposal to his girlfriend.</t>
  </si>
  <si>
    <t>advisory</t>
  </si>
  <si>
    <t>adj. 諮詢的；建議性的；警告性的 n. 公告；警示；諮詢機構</t>
  </si>
  <si>
    <t>1. The government issued an advisory on travel safety. 2. She serves on an advisory board.</t>
  </si>
  <si>
    <t>request</t>
  </si>
  <si>
    <t>n./v. 請求；要求；申請</t>
  </si>
  <si>
    <t>I made a request for more information.</t>
  </si>
  <si>
    <t>depart</t>
  </si>
  <si>
    <t>v. 出發；離開；去世；偏離</t>
  </si>
  <si>
    <t>1. The train will depart at 9 a.m. 2. She departed from the usual procedure.</t>
  </si>
  <si>
    <t>out of</t>
  </si>
  <si>
    <t>prep. 從…之中；沒有、缺乏；因為、出於；脫離、在…之外</t>
  </si>
  <si>
    <t>1. Two out of ten people agreed. 2. We are out of milk. 2. He did it out of kindness.</t>
  </si>
  <si>
    <t>heavily</t>
  </si>
  <si>
    <t>adv. 沉重地；大量地；嚴重地；劇烈地；高度地</t>
  </si>
  <si>
    <t>1. It is raining heavily. 2. The company is heavily dependent on exports.</t>
  </si>
  <si>
    <t>moderately</t>
  </si>
  <si>
    <t>adv. 適度地；中等程度地；還算地</t>
  </si>
  <si>
    <t>1. The weather is moderately warm today. 2. He is moderately interested in the project.</t>
  </si>
  <si>
    <t>exclusively</t>
  </si>
  <si>
    <t>adv. 僅僅；專門地；獨家地</t>
  </si>
  <si>
    <t>1. This product is sold exclusively online. 2. The club is exclusively for members.</t>
  </si>
  <si>
    <t>nominate</t>
  </si>
  <si>
    <t>v. 提名；推薦；指派</t>
  </si>
  <si>
    <t>1. She was nominated for the best employee award. 2. The committee nominated him as chairman.</t>
  </si>
  <si>
    <t>evaluator</t>
  </si>
  <si>
    <t>n. 評估者；評鑑員；鑑定人</t>
  </si>
  <si>
    <t>1. The evaluator reviewed the project carefully. 2. She works as an evaluator for training programs.</t>
  </si>
  <si>
    <t>ruling</t>
  </si>
  <si>
    <t>n. 裁決；判決；規定 adj. 統治的；占主導地位的</t>
  </si>
  <si>
    <t>1. The court issued a ruling on the case. 2. The ruling party won the election again.</t>
  </si>
  <si>
    <t>shifting</t>
  </si>
  <si>
    <t>adj. 變動的；不穩定的；轉變中的 n. 移動；轉移；變化</t>
  </si>
  <si>
    <t>1. The shifting market conditions affect sales. 2. There is a shifting of priorities in the company.</t>
  </si>
  <si>
    <t>convincing</t>
  </si>
  <si>
    <t>adj. 令人信服的、有說服力的、可信的、確鑿的</t>
  </si>
  <si>
    <t>1. He gave a convincing argument. 2. The evidence is not very convincing.</t>
  </si>
  <si>
    <t>prolong</t>
  </si>
  <si>
    <t>v. 延長；拖長</t>
  </si>
  <si>
    <t>1. The medicine helped prolong his life. 2. They tried to prolong the meeting unnecessarily.</t>
  </si>
  <si>
    <t>identical</t>
  </si>
  <si>
    <t>adj. 完全相同的；一模一樣的</t>
  </si>
  <si>
    <t>The two documents are identical.</t>
  </si>
  <si>
    <t>dominant</t>
  </si>
  <si>
    <t>adj. 占主導地位的；支配性的；優勢的；顯著的；（生物）顯性的</t>
  </si>
  <si>
    <t>1. The company is the dominant player in the market. 2. English is the dominant language in international business.</t>
  </si>
  <si>
    <t>similar</t>
  </si>
  <si>
    <t>adj. 相似的；類似的</t>
  </si>
  <si>
    <t>1. These two products are very similar. 2. She has a similar opinion to mine.</t>
  </si>
  <si>
    <t>gesture</t>
  </si>
  <si>
    <t>n. 手勢；姿態；表示 v. 用手勢表示；做手勢</t>
  </si>
  <si>
    <t>1. He made a friendly gesture. 2. She gestured for me to sit down.</t>
  </si>
  <si>
    <t>goodwill</t>
  </si>
  <si>
    <t>n. 善意；友好；好感；商譽</t>
  </si>
  <si>
    <t>1. The company aims to build goodwill with customers. 2. Goodwill is an important asset for the brand.</t>
  </si>
  <si>
    <t>immense</t>
  </si>
  <si>
    <t>adj. 巨大的；極大的；無限的；非常強烈的</t>
  </si>
  <si>
    <t>1. The project requires an immense amount of effort. 2. She felt an immense sense of relief.</t>
  </si>
  <si>
    <t>intensive</t>
  </si>
  <si>
    <t>adj. 密集的；強化的；集中的；強度高的；專注深入的</t>
  </si>
  <si>
    <t>1. She is taking an intensive English course. 2. The training was very intensive.</t>
  </si>
  <si>
    <t>monument</t>
  </si>
  <si>
    <t>n. 紀念碑；紀念物；歷史遺跡；著名建築；偉大成就的象徵</t>
  </si>
  <si>
    <t>1. The monument was built to honor the soldiers. 2. The city is famous for its ancient monuments.</t>
  </si>
  <si>
    <t>reveal</t>
  </si>
  <si>
    <t>v. 揭露；透露；顯示</t>
  </si>
  <si>
    <t>1. The report reveals important information. 2. She refused to reveal her identity.</t>
  </si>
  <si>
    <t>persepective</t>
  </si>
  <si>
    <t>n. 觀點；看法；角度</t>
  </si>
  <si>
    <t>1. From my perspective, the plan is risky. 2. Try to see the situation from a different perspective.</t>
  </si>
  <si>
    <t>reflection</t>
  </si>
  <si>
    <t>n. 反映；反射；映像；思考；反省；沉思</t>
  </si>
  <si>
    <t>1. The lake showed a perfect reflection of the mountains. 2. After careful reflection, he decided to resign.</t>
  </si>
  <si>
    <t>cruise</t>
  </si>
  <si>
    <t>n. 郵輪旅行；航行 v. 搭郵輪旅行；（車輛）平穩行駛；巡航</t>
  </si>
  <si>
    <t>1. We went on a cruise to Japan. 2. The car cruised along the highway.</t>
  </si>
  <si>
    <t xml:space="preserve">owing to </t>
  </si>
  <si>
    <t>prep. 由於；因為</t>
  </si>
  <si>
    <t>1. The flight was delayed owing to bad weather. 2. Owing to a lack of funds, the project was canceled.</t>
  </si>
  <si>
    <t>aside from</t>
  </si>
  <si>
    <t>prep. 除了；除…之外</t>
  </si>
  <si>
    <t>1. Aside from English, he also speaks Japanese. 2. Aside from a few mistakes, the report is good.</t>
  </si>
  <si>
    <t>reevaluate</t>
  </si>
  <si>
    <t>v. 重新評估；再評價；重新檢視</t>
  </si>
  <si>
    <t>1. The company is reevaluating its business strategy. 2. She is reevaluating her career goals.</t>
  </si>
  <si>
    <t>in favor of</t>
  </si>
  <si>
    <t>prep. 支持；贊成；有利於</t>
  </si>
  <si>
    <t>1. Most employees voted in favor of the new policy. 2. The decision was made in favor of the company.</t>
  </si>
  <si>
    <t>possess</t>
  </si>
  <si>
    <t>v. 擁有；持有；具有；控制；支配</t>
  </si>
  <si>
    <t>1. He possesses great leadership skills. 2. The company possesses valuable resources.</t>
  </si>
  <si>
    <t>intelligence</t>
  </si>
  <si>
    <t>n. 智力、智慧、聰明才智；情報、情報資訊；理解力、學習能力</t>
  </si>
  <si>
    <t>1. She has high intelligence and learns quickly. 2. The agency collects intelligence on threats.</t>
  </si>
  <si>
    <t>evidence</t>
  </si>
  <si>
    <t>n. 證據；證明；跡象</t>
  </si>
  <si>
    <t>1. There is no evidence to support the claim. 2. The police collected important evidence.</t>
  </si>
  <si>
    <t>prohibited</t>
  </si>
  <si>
    <t>adj. 被禁止的；不允許的</t>
  </si>
  <si>
    <t>Smoking is prohibited in this area.</t>
  </si>
  <si>
    <t>penalty</t>
  </si>
  <si>
    <t>n. 處罰、懲罰、罰款；罰球；代價、不利後果</t>
  </si>
  <si>
    <t>1. He had to pay a penalty for speeding. 2. The team scored from a penalty kick.</t>
  </si>
  <si>
    <t>sanitation</t>
  </si>
  <si>
    <t>n. 衛生；環境衛生；衛生設備與管理</t>
  </si>
  <si>
    <t>1. The city improved its sanitation system. 2. Poor sanitation can lead to disease.</t>
  </si>
  <si>
    <t>crew</t>
  </si>
  <si>
    <t>n. （船、飛機等）機組人員、船員；工作團隊；劇組；一群人</t>
  </si>
  <si>
    <t>1. The flight crew prepared for takeoff. 2. The film crew arrived early in the morning.</t>
  </si>
  <si>
    <t>roadway</t>
  </si>
  <si>
    <t>n. 車道；道路；路面</t>
  </si>
  <si>
    <t>1. The roadway was closed due to construction. 2. Snow covered the entire roadway.</t>
  </si>
  <si>
    <t>validity</t>
  </si>
  <si>
    <t>n. 有效性；正當性；合理性</t>
  </si>
  <si>
    <t>1. The validity of the contract is five years. 2. We questioned the validity of his argument.</t>
  </si>
  <si>
    <t>tow</t>
  </si>
  <si>
    <t>v. 拖曳；牽引（車輛、船等）</t>
  </si>
  <si>
    <t>The car was towed away by the police.</t>
  </si>
  <si>
    <t>exemplary</t>
  </si>
  <si>
    <t>adj. 模範的；典範的；值得學習的；作為例證的；作為示範的</t>
  </si>
  <si>
    <t>1. She received an award for exemplary performance. 2. The company has an exemplary safety record.</t>
  </si>
  <si>
    <t>subsequent</t>
  </si>
  <si>
    <t>adj. 隨後的；後來的；接著發生的</t>
  </si>
  <si>
    <t>1. The accident and subsequent investigation delayed the project. 2. Subsequent events confirmed our decision.</t>
  </si>
  <si>
    <t>negligence</t>
  </si>
  <si>
    <t>n. 疏忽；怠忽職守；過失</t>
  </si>
  <si>
    <t>1. The accident was caused by negligence. 2. The company was sued for medical negligence.</t>
  </si>
  <si>
    <t>suspention</t>
  </si>
  <si>
    <t>n. 暫停、中止；停職；懸浮、懸掛狀態；停學處分</t>
  </si>
  <si>
    <t>1. The worker received a suspension for breaking the rules. 2. The suspension of the project caused delays.</t>
  </si>
  <si>
    <t>license</t>
  </si>
  <si>
    <t>n. 執照；許可證；授權 v. 授權；許可；發給執照</t>
  </si>
  <si>
    <t>1. He renewed his driving license. 2. The company is licensed to sell the product.</t>
  </si>
  <si>
    <t>markdown</t>
  </si>
  <si>
    <t>n. 降價；減價</t>
  </si>
  <si>
    <t>The store offered a large markdown on winter clothes.</t>
  </si>
  <si>
    <t>intence</t>
  </si>
  <si>
    <t>adj. 強烈的；劇烈的；極度專注的；緊張的；激烈的；高強度的</t>
  </si>
  <si>
    <t>1. The competition was very intense. 2. She felt intense pressure at work.</t>
  </si>
  <si>
    <t>fortunate</t>
  </si>
  <si>
    <t>adj. 幸運的、有福氣的；恰好的、適時的</t>
  </si>
  <si>
    <t>1. I was fortunate to get the job. 2. It was fortunate that no one was injured.</t>
  </si>
  <si>
    <t>facelift</t>
  </si>
  <si>
    <t>n. 整修；翻新；改造；拉皮手術</t>
  </si>
  <si>
    <t>1. The hotel received a complete facelift last year. 2. The company plans a facelift for its website.</t>
  </si>
  <si>
    <t>interior</t>
  </si>
  <si>
    <t>n. 內部；室內 adj.內部的；室內的</t>
  </si>
  <si>
    <t>1. The car has a luxurious interior. 2. The interior walls were painted white.</t>
  </si>
  <si>
    <t>on top of</t>
  </si>
  <si>
    <t>prep. 在…上面；除了…之外；另外還有；完全掌握</t>
  </si>
  <si>
    <t>1. The books are stacked on top of the desk. 2. On top of the salary, employees receive bonuses. 3. She is on top of her work schedule.</t>
  </si>
  <si>
    <t>disclose</t>
  </si>
  <si>
    <t>v. 揭露；公開；透露</t>
  </si>
  <si>
    <t>1. The company refused to disclose financial details. 2. He disclosed his identity to the police.</t>
  </si>
  <si>
    <t>distract</t>
  </si>
  <si>
    <t>v. 使分心；使注意力轉移</t>
  </si>
  <si>
    <t>1. Noise can distract students from studying. 2. Don’t distract me while I’m working.</t>
  </si>
  <si>
    <t>proceed</t>
  </si>
  <si>
    <t>v. 繼續進行；前進；開始（某行動或程序）；接著做</t>
  </si>
  <si>
    <t>1. Please proceed to the next step. 2. After the break, we will proceed with the meeting.</t>
  </si>
  <si>
    <t>derive</t>
  </si>
  <si>
    <t>v. 取得；獲得；衍生；起源於；推導</t>
  </si>
  <si>
    <t>1. Many English words derive from Latin. 2. The company derives most of its revenue from exports.</t>
  </si>
  <si>
    <t>deluxe</t>
  </si>
  <si>
    <t>adj. 豪華的；高級的；特級的</t>
  </si>
  <si>
    <t>1. We stayed in a deluxe hotel room. 2. The package includes a deluxe meal.</t>
  </si>
  <si>
    <t>coverage</t>
  </si>
  <si>
    <t>n. 覆蓋範圍；涵蓋；報導；新聞報導</t>
  </si>
  <si>
    <t>1. The network provides nationwide coverage. 2. The insurance offers full medical coverage. 3. The event received wide media coverage.</t>
  </si>
  <si>
    <t>revision</t>
  </si>
  <si>
    <t>n. 修改；修訂；修正；複習；修訂版</t>
  </si>
  <si>
    <t>1. The document is under revision. 2. She is doing revision for the exam.</t>
  </si>
  <si>
    <t>transparency</t>
  </si>
  <si>
    <t>n. 透明度；清晰度；明確性</t>
  </si>
  <si>
    <t>1. The glass has high transparency. 2. The company promotes transparency in its operations.</t>
  </si>
  <si>
    <t>signify</t>
  </si>
  <si>
    <t>v. 表示、象徵、意味著、代表；標示；通知、告知</t>
  </si>
  <si>
    <t>1. A red light signifies danger. 2. What does this symbol signify?</t>
  </si>
  <si>
    <t>term</t>
  </si>
  <si>
    <t>n. 條款、條件；用語、術語；期間、任期</t>
  </si>
  <si>
    <t>1. We agreed to the terms of the contract. 2. The terms are clearly explained in the document.</t>
  </si>
  <si>
    <t>enthusiast</t>
  </si>
  <si>
    <t>n. 愛好者；熱衷者；狂熱粉絲</t>
  </si>
  <si>
    <t>1. Car enthusiasts gathered at the event. 2. Photography enthusiasts often share tips online.</t>
  </si>
  <si>
    <t>hardware</t>
  </si>
  <si>
    <t>n. 硬體設備；五金器具；金屬零件；（廣義）機械設備</t>
  </si>
  <si>
    <t>1. The computer hardware needs to be upgraded. 2. You can buy tools at the hardware store.</t>
  </si>
  <si>
    <t>ergonomic</t>
  </si>
  <si>
    <t>adj. 人體工學的</t>
  </si>
  <si>
    <t>This chair has an ergonomic design.</t>
  </si>
  <si>
    <t>diagnostic</t>
  </si>
  <si>
    <t>adj. 診斷的；用於診斷的 n. 診斷檢查；診斷工具</t>
  </si>
  <si>
    <t>1. The hospital performed diagnostic tests. 2. The software includes a diagnostic tool.</t>
  </si>
  <si>
    <t>closure</t>
  </si>
  <si>
    <t>n. 關閉、結束、終止；停業、關門；心理上的釋懷、了結感</t>
  </si>
  <si>
    <t>1. The closure of the factory affected many workers. 2. The road closure caused traffic delays.</t>
  </si>
  <si>
    <t>upper</t>
  </si>
  <si>
    <t>adj. 上面的；上部的；較高的 n. 上部；鞋面</t>
  </si>
  <si>
    <t>The upper floor is reserved for offices.</t>
  </si>
  <si>
    <t>unveil</t>
  </si>
  <si>
    <t>v. 揭幕；揭開；公布；揭露</t>
  </si>
  <si>
    <t>1. The company unveiled its new product. 2. The statue was unveiled at the ceremony.</t>
  </si>
  <si>
    <t>renewal</t>
  </si>
  <si>
    <t>n. 更新；續期；延續；復興；重建；重新開始</t>
  </si>
  <si>
    <t>1. The renewal of the contract is required every year. 2. The city is undergoing a period of renewal.</t>
  </si>
  <si>
    <t>prestigious</t>
  </si>
  <si>
    <t>adj. 有聲望的；享有盛名的；傑出的；地位崇高的</t>
  </si>
  <si>
    <t>1. She graduated from a prestigious university. 2. The award is highly prestigious in the industry.</t>
  </si>
  <si>
    <t>sourdough</t>
  </si>
  <si>
    <t>n. 酸種麵團；天然發酵麵糰</t>
  </si>
  <si>
    <t>1. I baked a loaf of sourdough bread. 2. Sourdough gives the bread a tangy flavor.</t>
  </si>
  <si>
    <t>scheme</t>
  </si>
  <si>
    <t>n. 計畫；方案；體制；（常含負面）陰謀 v. 策劃；謀劃</t>
  </si>
  <si>
    <t>1. The government launched a new housing scheme. 2. They schemed to increase their profits.</t>
  </si>
  <si>
    <t>substantial</t>
  </si>
  <si>
    <t>adj. 大量的、相當可觀的；重大的、實質的；牢固的、堅實的</t>
  </si>
  <si>
    <t>1. The company made a substantial profit. 2. There is substantial evidence to support the claim.</t>
  </si>
  <si>
    <t>harbor</t>
  </si>
  <si>
    <t>n. 港口；港灣 v. 藏匿；懷有（情感、想法）；庇護；包庇</t>
  </si>
  <si>
    <t>1. The ship entered the harbor safely. 2. He harbored doubts about the plan.</t>
  </si>
  <si>
    <t>pest</t>
  </si>
  <si>
    <t>n. 害蟲；害獸；討厭的人；麻煩人物</t>
  </si>
  <si>
    <t>1. Farmers use chemicals to control pests. 2. The garden was damaged by pests.</t>
  </si>
  <si>
    <t>mulch</t>
  </si>
  <si>
    <t>n. 覆蓋物 v. 覆蓋</t>
  </si>
  <si>
    <t>1. Gardeners use mulch to retain moisture in the soil. 2. They mulched the plants to protect them from weeds.</t>
  </si>
  <si>
    <t>perennial</t>
  </si>
  <si>
    <t>n. 多年生植物；長期存在的事物</t>
  </si>
  <si>
    <t>Perennials bloom every year without replanting.</t>
  </si>
  <si>
    <t>primarily</t>
  </si>
  <si>
    <t>adv. 主要地；首要地；以…為主</t>
  </si>
  <si>
    <t>1. The system is primarily used for data analysis. 2. She is primarily responsible for marketing.</t>
  </si>
  <si>
    <t>approximately</t>
  </si>
  <si>
    <t>adv. 大約；近似地；差不多</t>
  </si>
  <si>
    <t>1. The project will take approximately two weeks. 2. Approximately 100 people attended the meeting.</t>
  </si>
  <si>
    <t>subject</t>
  </si>
  <si>
    <t>n. 主題；科目；主詞（文法）；對象；受支配者 v. 使受制於；使遭受</t>
  </si>
  <si>
    <t>1. Math is my favorite subject. 2. The subject of the meeting was cost reduction. 3. The city is subject to heavy rain in summer.</t>
  </si>
  <si>
    <t>comprehensive</t>
  </si>
  <si>
    <t>adj. 全面的；詳盡的；包羅萬象的</t>
  </si>
  <si>
    <t>1. The report provides a comprehensive analysis of the market. 2. We need a comprehensive plan to solve the problem.</t>
  </si>
  <si>
    <t>ecosystem</t>
  </si>
  <si>
    <t>n. 生態系統</t>
  </si>
  <si>
    <t>1. Forests are important ecosystems. 2. The company is part of a larger tech ecosystem.</t>
  </si>
  <si>
    <t>subscriptions</t>
  </si>
  <si>
    <t>n. 訂閱；訂閱服務；訂閱費；會員費；捐款；認購</t>
  </si>
  <si>
    <t>1. I have multiple streaming subscriptions. 2. The magazine offers annual subscriptions.</t>
  </si>
  <si>
    <t>entity</t>
  </si>
  <si>
    <t>n. 實體、存在物；法人、組織單位；個體、獨立單元</t>
  </si>
  <si>
    <t>1. The company is a separate legal entity. 2. Each department is treated as an independent entity.</t>
  </si>
  <si>
    <t xml:space="preserve">purpose </t>
  </si>
  <si>
    <t>n. 目的；用途；意圖</t>
  </si>
  <si>
    <t>1. The purpose of this meeting is to discuss sales. 2. What is the purpose of this tool?</t>
  </si>
  <si>
    <t>demonstrate</t>
  </si>
  <si>
    <t>v. 展示；證明；表明；示範；演示</t>
  </si>
  <si>
    <t>1. He demonstrated his skills in the interview. 2. The experiment demonstrated the theory clearly.</t>
  </si>
  <si>
    <t>interpret</t>
  </si>
  <si>
    <t>v. 解釋、詮釋、理解；翻譯（口譯）；演繹（音樂、藝術）</t>
  </si>
  <si>
    <t>1. How do you interpret this data? 2. She interprets for international meetings.</t>
  </si>
  <si>
    <t>dedicated</t>
  </si>
  <si>
    <t>adj. 專心的、投入的；專用的</t>
  </si>
  <si>
    <t>1. She is a dedicated teacher. 2. This room is dedicated to meetings.</t>
  </si>
  <si>
    <t>relocate</t>
  </si>
  <si>
    <t>v. 搬遷；遷移；重新安置</t>
  </si>
  <si>
    <t>1. The company will relocate its headquarters. 2. They had to relocate because of the job.</t>
  </si>
  <si>
    <t>tremendous</t>
  </si>
  <si>
    <t>adj. 巨大的；極大的；非常好的；驚人的</t>
  </si>
  <si>
    <t>1. The project requires tremendous effort. 2. She made a tremendous impact on the team.</t>
  </si>
  <si>
    <t>former</t>
  </si>
  <si>
    <t>adj. 以前的；前任的 n. 前者</t>
  </si>
  <si>
    <t>1. He is a former manager of the company. 2. Of the two options, I prefer the former.</t>
  </si>
  <si>
    <t>badge</t>
  </si>
  <si>
    <t>n. 徽章；識別證；胸章；（象徵）標誌；榮譽標記</t>
  </si>
  <si>
    <t>1. He wore a name badge at the conference. 2. The badge shows that she is a volunteer.</t>
  </si>
  <si>
    <t>gourmet</t>
  </si>
  <si>
    <t>adj. 美食的；講究美食的；高級餐飲的 n. 美食家；講究美食的人</t>
  </si>
  <si>
    <t>1. This restaurant serves gourmet dishes. 2. He is a gourmet who enjoys fine dining.</t>
  </si>
  <si>
    <t>rotate</t>
  </si>
  <si>
    <t>v. 旋轉；輪流；輪值</t>
  </si>
  <si>
    <t>1. The Earth is rotating on its axis. 2. Employees are rotating shifts this week.</t>
  </si>
  <si>
    <t>cuisine</t>
  </si>
  <si>
    <t>n. 料理；菜系；烹飪風格</t>
  </si>
  <si>
    <t>1. The restaurant offers cuisines from around the world. 2. Japanese and Italian cuisines are very popular.</t>
  </si>
  <si>
    <t>state-of-the-art</t>
  </si>
  <si>
    <t>adj. 最先進的；尖端的；最新技術的</t>
  </si>
  <si>
    <t>1. The company uses state-of-the-art technology. 2. The hospital has state-of-the-art equipment.</t>
  </si>
  <si>
    <t>upcoming</t>
  </si>
  <si>
    <t>adj. 即將來臨的；即將發生的</t>
  </si>
  <si>
    <t>1. We are preparing for the upcoming meeting. 2. Details about the upcoming event will be announced soon.</t>
  </si>
  <si>
    <t>span</t>
  </si>
  <si>
    <t>v. 橫跨；跨越；持續 n. 跨度；期間；範圍</t>
  </si>
  <si>
    <t>1. The bridge spans the river. 2. The project spans several years.</t>
  </si>
  <si>
    <t>overall</t>
  </si>
  <si>
    <t>adj. 整體的；全面的 adv. 總體來說；整體而言</t>
  </si>
  <si>
    <t>1. The overall result was positive. 2. Overall, the project was successful.</t>
  </si>
  <si>
    <t>conduct</t>
  </si>
  <si>
    <t>n. 行為；舉止 v. 進行；實施；引導；指揮</t>
  </si>
  <si>
    <t>1. His conduct in the meeting was professional. 2. The company will conduct a survey.</t>
  </si>
  <si>
    <t>inspections</t>
  </si>
  <si>
    <t>n. 檢查；檢驗；視察</t>
  </si>
  <si>
    <t>1. Regular inspections are required for safety. 2. The factory passed all inspections.</t>
  </si>
  <si>
    <t>intermittently.</t>
  </si>
  <si>
    <t>adv. 間歇地；斷斷續續地；時有時無地</t>
  </si>
  <si>
    <t>1. It rained intermittently throughout the day. 2. The machine operates intermittently due to power issues.</t>
  </si>
  <si>
    <t>extinguisher</t>
  </si>
  <si>
    <t>n. 滅火器</t>
  </si>
  <si>
    <t>Every building must have a fire extinguisher.</t>
  </si>
  <si>
    <t>expired</t>
  </si>
  <si>
    <t>adj. 已到期的；失效的</t>
  </si>
  <si>
    <t>1. My passport has expired. 2. The coupon is expired and cannot be used.</t>
  </si>
  <si>
    <t>urgent</t>
  </si>
  <si>
    <t>adj. 緊急的；急迫的；迫切的</t>
  </si>
  <si>
    <t>1. We need an urgent response from the client. 2. This is an urgent matter.</t>
  </si>
  <si>
    <t>migration</t>
  </si>
  <si>
    <t>n. 遷移；移居</t>
  </si>
  <si>
    <t>1. Bird migration begins in autumn. 2. The company completed its data migration successfully.</t>
  </si>
  <si>
    <t>catering</t>
  </si>
  <si>
    <t>n. 外燴服務；餐飲供應 v. 提供餐飲；迎合需求</t>
  </si>
  <si>
    <t>1. The company provides catering for events. 2. The restaurant is catering a wedding this weekend.</t>
  </si>
  <si>
    <t>external auditors</t>
  </si>
  <si>
    <t>n. 外部稽核人員；外部審計師</t>
  </si>
  <si>
    <t>External auditors reviewed the company’s financial records.</t>
  </si>
  <si>
    <t>dental</t>
  </si>
  <si>
    <t>adj. 牙齒的；牙科的</t>
  </si>
  <si>
    <t>1. The company provides dental insurance. 2. I have a dental appointment tomorrow.</t>
  </si>
  <si>
    <t>sculpture</t>
  </si>
  <si>
    <t>n. 雕塑作品；雕刻藝術</t>
  </si>
  <si>
    <t>1. The museum displayed a modern sculpture. 2. She studies sculpture at art school.</t>
  </si>
  <si>
    <t>downturn</t>
  </si>
  <si>
    <t>n. 衰退；低迷；（經濟、商業）景氣下滑</t>
  </si>
  <si>
    <t>1. The company suffered during the economic downturn. 2. Sales declined because of the market downturn.</t>
  </si>
  <si>
    <t>informative</t>
  </si>
  <si>
    <t>adj. 資訊豐富的；提供知識的；有教育意義的</t>
  </si>
  <si>
    <t>1. The presentation was very informative. 2. It was an informative article about climate change.</t>
  </si>
  <si>
    <t>service packages</t>
  </si>
  <si>
    <t>n. 服務套裝；服務方案；服務組合</t>
  </si>
  <si>
    <t>1. The company offers different service packages. 2. Customers can choose from several service packages.</t>
  </si>
  <si>
    <t>sustainability</t>
  </si>
  <si>
    <t>n. 永續性；可持續發展能力；（環境）永續發展</t>
  </si>
  <si>
    <t>1. The company focuses on environmental sustainability. 2. Sustainability is a key issue in modern business.</t>
  </si>
  <si>
    <t>worsen</t>
  </si>
  <si>
    <t>v. 惡化；變糟；使更嚴重</t>
  </si>
  <si>
    <t>1.  The weather may worsen tonight. 2. Lack of sleep can worsen your health.</t>
  </si>
  <si>
    <t>punctual</t>
  </si>
  <si>
    <t>adj. 準時的；守時的</t>
  </si>
  <si>
    <t>1. She is always punctual for meetings. 2. Being punctual is important in the workplace.</t>
  </si>
  <si>
    <t>shredder</t>
  </si>
  <si>
    <t>n. 碎紙機；切碎機；粉碎機</t>
  </si>
  <si>
    <t>1. Please put confidential documents into the shredder. 2. The office bought a new paper shredder.</t>
  </si>
  <si>
    <t>oversee</t>
  </si>
  <si>
    <t>v. 監督；管理；督導</t>
  </si>
  <si>
    <t>She oversees the marketing department.</t>
  </si>
  <si>
    <t>youth</t>
  </si>
  <si>
    <t>n. 青春；年輕時期；年輕人；青年</t>
  </si>
  <si>
    <t>1. He spent his youth in the countryside. 2. The program supports local youth.</t>
  </si>
  <si>
    <t>component</t>
  </si>
  <si>
    <t>n. 零件；組件；元件；構成部分；成分</t>
  </si>
  <si>
    <t>1. This machine contains several electronic components. 2. Communication is an important component of teamwork.</t>
  </si>
  <si>
    <t>occupancy</t>
  </si>
  <si>
    <t>n. 占用；使用；入住率；居住權；使用權</t>
  </si>
  <si>
    <t>1. The hotel has a 90% occupancy rate. 2. The building is ready for occupancy.</t>
  </si>
  <si>
    <t>withdraw</t>
  </si>
  <si>
    <t>v. 取出；提領；撤回；撤銷；撤退；退出</t>
  </si>
  <si>
    <t>1. I need to withdraw some cash from the bank. 2. He withdrew his application.</t>
  </si>
  <si>
    <t>leftover</t>
  </si>
  <si>
    <t>n. 剩菜；剩餘物 adj. 剩下的；遺留的</t>
  </si>
  <si>
    <t>1. We ate the leftovers for dinner. 2. There is some leftover food in the fridge.</t>
  </si>
  <si>
    <t>publicized</t>
  </si>
  <si>
    <t>v. 公開宣傳；公布；廣為宣傳</t>
  </si>
  <si>
    <t>1. The company publicized its new product launch. 2. The results were widely publicized in the media.</t>
  </si>
  <si>
    <t>appraisals</t>
  </si>
  <si>
    <t>n. 評估；鑑定；績效考核；（房地產）估價</t>
  </si>
  <si>
    <t>1. Employee appraisals are conducted annually. 2. The appraisals of the property were completed.</t>
  </si>
  <si>
    <t>filing</t>
  </si>
  <si>
    <t>n. 歸檔；檔案整理；申報文件</t>
  </si>
  <si>
    <t>1. The documents are in the filing cabinet. 2. He is responsible for filing tax reports.</t>
  </si>
  <si>
    <t>ongoing</t>
  </si>
  <si>
    <t>adj. 持續進行中的；正在進行的</t>
  </si>
  <si>
    <t>1. The project is still ongoing. 2. There is an ongoing investigation.</t>
  </si>
  <si>
    <t>questionnaire</t>
  </si>
  <si>
    <t>n. 問卷；調查表</t>
  </si>
  <si>
    <t>1. Please fill out this questionnaire. 2. The questionnaire asks about customer satisfaction.</t>
  </si>
  <si>
    <t>economy</t>
  </si>
  <si>
    <t>n. 經濟；經濟體系；節約；經濟型；標準艙等</t>
  </si>
  <si>
    <t>1. The global economy is recovering. 2. We need to improve energy economy.</t>
  </si>
  <si>
    <t>yearly</t>
  </si>
  <si>
    <t>adj./adv. 每年的；一年一次的；年度的</t>
  </si>
  <si>
    <t>1. The company holds a yearly meeting. 2. Sales are reported yearly.</t>
  </si>
  <si>
    <t>warehouse</t>
  </si>
  <si>
    <t>n. 倉庫；貨倉 v. 儲存於倉庫；大量存放</t>
  </si>
  <si>
    <t>1. The goods are stored in a warehouse. 2. The company warehouses products in multiple locations.</t>
  </si>
  <si>
    <t>courier</t>
  </si>
  <si>
    <t>n. 快遞員；送件人；快遞服務；快遞公司</t>
  </si>
  <si>
    <t>1. The courier delivered the package this morning. 2. We used a courier service for urgent documents.</t>
  </si>
  <si>
    <t>turn down</t>
  </si>
  <si>
    <t>phr. v. 拒絕；調低</t>
  </si>
  <si>
    <t>1. She turned down the job offer. 2. Please turn down the music.</t>
  </si>
  <si>
    <t>foremost</t>
  </si>
  <si>
    <t>adj. 最重要的；最著名的；首要的 adv. 首先；最重要地</t>
  </si>
  <si>
    <t>1. She is one of the foremost experts in the field. 2. Safety is foremost in our concerns.</t>
  </si>
  <si>
    <t>generator</t>
  </si>
  <si>
    <t>n. 發電機；產生器</t>
  </si>
  <si>
    <t>1. The building has a backup generator. 2. The code uses a random number generator.</t>
  </si>
  <si>
    <t>route</t>
  </si>
  <si>
    <t>n. 路線；航線；途徑 v. 安排路線；轉送；導向</t>
  </si>
  <si>
    <t>1. This is the fastest route to the airport. 2. The package was routed through Hong Kong.</t>
  </si>
  <si>
    <t>ma'am</t>
  </si>
  <si>
    <t>n. 夫人；女士</t>
  </si>
  <si>
    <t>Excuse me, ma’am, you dropped your bag.</t>
  </si>
  <si>
    <t>dwelling</t>
  </si>
  <si>
    <t>n. 住宅；住所；居所</t>
  </si>
  <si>
    <t>1. The area is full of private dwellings. 2. Fire safety is important in any dwelling.</t>
  </si>
  <si>
    <t>trainee</t>
  </si>
  <si>
    <t>n. 受訓者；實習生；培訓人員</t>
  </si>
  <si>
    <t>1. The trainee is learning how to use the system. 2. New trainees will start next Monday.</t>
  </si>
  <si>
    <t>locker</t>
  </si>
  <si>
    <t>n. 置物櫃；儲物櫃</t>
  </si>
  <si>
    <t>I left my bag in the locker.</t>
  </si>
  <si>
    <t>kiosk</t>
  </si>
  <si>
    <t>n. 販賣亭；小型攤位；自助服務機</t>
  </si>
  <si>
    <t>1. You can buy tickets at the kiosk. 2. There is a snack kiosk in the park.</t>
  </si>
  <si>
    <t>medication</t>
  </si>
  <si>
    <t>n. 藥物；藥品；藥物治療</t>
  </si>
  <si>
    <t>1. The doctor prescribed medication for the infection. 2. You should take your medication on time.</t>
  </si>
  <si>
    <t>transaction</t>
  </si>
  <si>
    <t>n. 交易；買賣；事務處理；交易處理</t>
  </si>
  <si>
    <t>1. The transaction was completed successfully. 2. Each bank transaction is recorded in the system.</t>
  </si>
  <si>
    <t>blueprint</t>
  </si>
  <si>
    <t>n. 藍圖；計畫；設計圖 v. 規劃；制定藍圖</t>
  </si>
  <si>
    <t>1. The architect reviewed the blueprint of the building. 2. The company has a blueprint for future growth.</t>
  </si>
  <si>
    <t>specification</t>
  </si>
  <si>
    <t>n. 規格；詳細說明；技術規範</t>
  </si>
  <si>
    <t>1. The product meets all technical specifications. 2. Please check the specifications before ordering.</t>
  </si>
  <si>
    <t>parliament</t>
  </si>
  <si>
    <t>n. 議會；國會</t>
  </si>
  <si>
    <t>The bill was passed by parliament.</t>
  </si>
  <si>
    <t>patent</t>
  </si>
  <si>
    <t>n. 專利 v. 申請專利；取得專利 adj. 明顯的；顯而易見的</t>
  </si>
  <si>
    <t>1. The company applied for a patent. 2. She patented her invention. 3. The error was patent to everyone.</t>
  </si>
  <si>
    <t>currency</t>
  </si>
  <si>
    <t>n. 貨幣；通貨；流通；通用性</t>
  </si>
  <si>
    <t>1. The euro is the official currency of many European countries. 2. The idea gained currency in the media.</t>
  </si>
  <si>
    <t>depreciation</t>
  </si>
  <si>
    <t>n. 折舊；貶值</t>
  </si>
  <si>
    <t>1. The depreciation of equipment is recorded annually. 2. Currency depreciation can affect imports.</t>
  </si>
  <si>
    <t>severance</t>
  </si>
  <si>
    <t>n. 資遣費；遣散費；切斷；分離；中斷</t>
  </si>
  <si>
    <t>1. He received severance after being laid off. 2. The severance of ties between the two companies was unexpected.</t>
  </si>
  <si>
    <t>laundry</t>
  </si>
  <si>
    <t>n. 洗衣；洗衣物；洗衣店；待洗衣物</t>
  </si>
  <si>
    <t>1. I need to do the laundry today. 2. There is a laundry service in the hotel.</t>
  </si>
  <si>
    <t>overcharged</t>
  </si>
  <si>
    <t>adj. 多收費的</t>
  </si>
  <si>
    <t>1. I was overcharged for the taxi ride. 2. The customer complained about the overcharged bill.</t>
  </si>
  <si>
    <t>redundancy</t>
  </si>
  <si>
    <t>n. 冗餘；多餘部分；（英式）裁員；資遣；重複性；不必要的重複</t>
  </si>
  <si>
    <t>1. The report contains a lot of redundancy. 2. She was offered redundancy after the company downsized.</t>
  </si>
  <si>
    <t>junction</t>
  </si>
  <si>
    <t>n. 交叉口；道路交會處；連接點；接合處；轉乘站；樞紐</t>
  </si>
  <si>
    <t>1. Turn right at the next junction. 2. This railway junction connects three cities.</t>
  </si>
  <si>
    <t>clearance</t>
  </si>
  <si>
    <t>n. 清除；清理；許可；批准；清倉；特價出清；淨空高度/間距</t>
  </si>
  <si>
    <t>1. The airport security clearance took two hours. 2. The store is having a clearance sale. 3. The bridge has enough clearance for large trucks.</t>
  </si>
  <si>
    <t>procurement</t>
  </si>
  <si>
    <t>n. 採購；物資採購；採購流程與管理</t>
  </si>
  <si>
    <t>1. The procurement of materials is handled by the purchasing department. 2. She works in government procurement.</t>
  </si>
  <si>
    <t>wristwatch</t>
  </si>
  <si>
    <t>n. 手錶；腕錶</t>
  </si>
  <si>
    <t>1. He checked his wristwatch during the meeting. 2. She received a wristwatch as a birthday gift.</t>
  </si>
  <si>
    <t>plaintiff</t>
  </si>
  <si>
    <t>n. 原告</t>
  </si>
  <si>
    <t>The plaintiff filed a lawsuit against the company.</t>
  </si>
  <si>
    <t>bargain</t>
  </si>
  <si>
    <t>n. 便宜貨；划算的交易；協議 v. 討價還價；協商</t>
  </si>
  <si>
    <t>1. I bought this bag at a bargain price. 2. They bargained with the seller.</t>
  </si>
  <si>
    <t>wellness</t>
  </si>
  <si>
    <t>n. 健康；身心健康；健康狀態</t>
  </si>
  <si>
    <t>1. The company promotes employee wellness. 2. Wellness programs include exercise and nutrition.</t>
  </si>
  <si>
    <t>halfway</t>
  </si>
  <si>
    <t>adv. 在中途；半路上 adj. 中間的；折衷的</t>
  </si>
  <si>
    <t>1. We stopped halfway through the journey. 2. He met me halfway on the decision.</t>
  </si>
  <si>
    <t>overhead</t>
  </si>
  <si>
    <t>n. 間接成本；營運開銷 adj. 在上方的；頭頂的</t>
  </si>
  <si>
    <t>1. The company reduced its overhead costs. 2. There is an overhead light in the room.</t>
  </si>
  <si>
    <t>cancellation</t>
  </si>
  <si>
    <t>n. 取消；撤銷；作廢</t>
  </si>
  <si>
    <t>1. The flight cancellation caused delays. 2. You will receive a refund after cancellation.</t>
  </si>
  <si>
    <t>interim</t>
  </si>
  <si>
    <t>adj. 暫時的；過渡期的 n. 過渡期間；暫代職位</t>
  </si>
  <si>
    <t>1. She was appointed as interim manager. 2. In the interim, we will continue operations as usual.</t>
  </si>
  <si>
    <t>prescription</t>
  </si>
  <si>
    <t>n. 處方；藥方；開藥；規定；指示</t>
  </si>
  <si>
    <t>1. The doctor gave me a prescription for antibiotics. 2. You need a prescription to buy this medicine.</t>
  </si>
  <si>
    <t>logic</t>
  </si>
  <si>
    <t>n. 邏輯；推理能力；邏輯學</t>
  </si>
  <si>
    <t>1. His argument lacks logic. 2. She has strong logical thinking skills.</t>
  </si>
  <si>
    <t>illogic</t>
  </si>
  <si>
    <t>n. 不合邏輯；不合理性；非邏輯性思考</t>
  </si>
  <si>
    <t>The illogic of his argument was obvious.</t>
  </si>
  <si>
    <t>reasoning</t>
  </si>
  <si>
    <t>n. 推理；推論；理性思考能力</t>
  </si>
  <si>
    <t>1. Her reasoning was clear and logical. 2. The problem requires strong analytical reasoning.</t>
  </si>
  <si>
    <t>valuation</t>
  </si>
  <si>
    <t>n. 估價；評價</t>
  </si>
  <si>
    <t>1. The valuation of the company was set at $10 million. 2. She requested a valuation of her property before selling.</t>
  </si>
  <si>
    <t>authenticate</t>
  </si>
  <si>
    <t>v. 驗證；證明...為真</t>
  </si>
  <si>
    <t>1. You need to authenticate your identity before logging in. 2. The museum authenticated the painting as a genuine Picasso.</t>
  </si>
  <si>
    <t>advertising</t>
  </si>
  <si>
    <t>n. 廣告業；廣告宣傳</t>
  </si>
  <si>
    <t>1. She works in advertising for a large agency. 2. Online advertising has grown rapidly in recent years.</t>
  </si>
  <si>
    <t>flatter</t>
  </si>
  <si>
    <t>v. 奉承；使顯得好看</t>
  </si>
  <si>
    <t>1. He flattered his boss to get a promotion. 2. That dress really flatters your figure.</t>
  </si>
  <si>
    <t>accountant</t>
  </si>
  <si>
    <t>n. 會計師</t>
  </si>
  <si>
    <t>She hired an accountant to manage the company's finances.</t>
  </si>
  <si>
    <t>bookkeeper</t>
  </si>
  <si>
    <t>n. 記帳員；簿記員</t>
  </si>
  <si>
    <t>The bookkeeper recorded all the daily transactions accurately.</t>
  </si>
  <si>
    <t>spam</t>
  </si>
  <si>
    <t>n. 垃圾郵件；垃圾訊息 v. 發送垃圾訊息</t>
  </si>
  <si>
    <t>1. My inbox is full of spam emails. 2. The company was banned for spamming customers.</t>
  </si>
  <si>
    <t>roomy</t>
  </si>
  <si>
    <t>adj. 寬敞的</t>
  </si>
  <si>
    <t>The new apartment is very roomy and has a lot of natural light.</t>
  </si>
  <si>
    <t>cramped</t>
  </si>
  <si>
    <t>adj. 狹窄的；侷促的</t>
  </si>
  <si>
    <t>The office was so cramped that there was barely room to move.</t>
  </si>
  <si>
    <t>workforce</t>
  </si>
  <si>
    <t>n. 勞動力；員工總數</t>
  </si>
  <si>
    <t>1. The company plans to expand its workforce by 20%. 2. Women make up half of the country's workforce.</t>
  </si>
  <si>
    <t>bandwidth</t>
  </si>
  <si>
    <t>n. 頻寬；處理能力</t>
  </si>
  <si>
    <t>1. We need more bandwidth to support the video call. 2. She doesn't have the bandwidth to take on another project right now.</t>
  </si>
  <si>
    <t>ledger</t>
  </si>
  <si>
    <t>n. 分類帳；帳簿</t>
  </si>
  <si>
    <t>1. The accountant updated the ledger every day. 2. All expenses were recorded in the company ledger.</t>
  </si>
  <si>
    <t>consensus</t>
  </si>
  <si>
    <t>n. 共識；一致意見</t>
  </si>
  <si>
    <t>1. The team reached a consensus on the new policy. 2. There is a general consensus that climate change is a serious issue.</t>
  </si>
  <si>
    <t>harmony</t>
  </si>
  <si>
    <t>n. 和諧；協調</t>
  </si>
  <si>
    <t>1. The two cultures live in harmony in this city. 2. The choir sang in perfect harmony.</t>
  </si>
  <si>
    <t>overnight</t>
  </si>
  <si>
    <t>adv. 一夜之間；突然 adj. 隔夜的；一夜的</t>
  </si>
  <si>
    <t>1. The package will be delivered overnight. 2. She became famous overnight after the video went viral. 3. He packed an overnight bag for the business trip.</t>
  </si>
  <si>
    <t>wheelchair</t>
  </si>
  <si>
    <t>n. 輪椅</t>
  </si>
  <si>
    <t>The hospital provides wheelchairs for patients who cannot walk.</t>
  </si>
  <si>
    <t>reservation</t>
  </si>
  <si>
    <t>n. 預訂；保留；保留地</t>
  </si>
  <si>
    <t>1. I made a reservation at the restaurant for two. 2. She had some reservations about accepting the job offer. 3. The Native Americans live on a reservation.</t>
  </si>
  <si>
    <t>pharmacy</t>
  </si>
  <si>
    <t>n. 藥局；藥房</t>
  </si>
  <si>
    <t>She went to the pharmacy to pick up her prescription.</t>
  </si>
  <si>
    <t>frequent</t>
  </si>
  <si>
    <t>adj. 頻繁的 v. 常去；時常出入</t>
  </si>
  <si>
    <t>1. She is a frequent traveler and visits many countries every year. 2. He frequents that coffee shop every morning.</t>
  </si>
  <si>
    <t>reconsider</t>
  </si>
  <si>
    <t>v. 重新考慮</t>
  </si>
  <si>
    <t>1. She asked him to reconsider his decision to quit. 2. After new evidence appeared, the judge agreed to reconsider the case.</t>
  </si>
  <si>
    <t>be present at</t>
  </si>
  <si>
    <t>phr. 出席；在場</t>
  </si>
  <si>
    <t>1. All employees are required to be present at the annual meeting. 2. She was present at the signing ceremony.</t>
  </si>
  <si>
    <t>coworker</t>
  </si>
  <si>
    <t>n. 同事</t>
  </si>
  <si>
    <t>She gets along well with all her coworkers at the office.</t>
  </si>
  <si>
    <t>fare</t>
  </si>
  <si>
    <t>n. 票價；車費；餐飲 v. 進展；過活</t>
  </si>
  <si>
    <t>1. The bus fare has increased since last year. 2. The restaurant offers a wide selection of local fare. 3. How did you fare on the exam?</t>
  </si>
  <si>
    <t>tournament</t>
  </si>
  <si>
    <t>n. 錦標賽；聯賽</t>
  </si>
  <si>
    <t>1. She won the tennis tournament last weekend. 2. The school is hosting a chess tournament next month.</t>
  </si>
  <si>
    <t>characteristic</t>
  </si>
  <si>
    <t>n. 特徵；特性 adj. 特有的；典型的</t>
  </si>
  <si>
    <t>1. Kindness is one of her best characteristics. 2. The characteristic smell of the bakery filled the street.</t>
  </si>
  <si>
    <t>infrastructure</t>
  </si>
  <si>
    <t>n. 基礎設施；基礎架構</t>
  </si>
  <si>
    <t>1. The government plans to invest in the country's infrastructure. 2. Poor infrastructure makes it hard for businesses to grow.</t>
  </si>
  <si>
    <t>retail</t>
  </si>
  <si>
    <t>n. 零售 adj. 零售的 v. 零售；以...價格出售</t>
  </si>
  <si>
    <t>1. She works in retail at a clothing store. 2. The retail price of the laptop is $1,200. 3. The product retails for $50 online.</t>
  </si>
  <si>
    <t>unauthorized</t>
  </si>
  <si>
    <t>adj. 未經授權的；未被許可的</t>
  </si>
  <si>
    <t>1. Unauthorized access to the system is strictly prohibited. 2. The employee was fired for making unauthorized purchases.</t>
  </si>
  <si>
    <t>go over</t>
  </si>
  <si>
    <t>phr. 仔細查看；檢視；超出</t>
  </si>
  <si>
    <t>1. Let's go over the report before the meeting. 2. The project went over budget by 10%.</t>
  </si>
  <si>
    <t>metro</t>
  </si>
  <si>
    <t>n. 地下鐵；地鐵系統 adj. 大都市的</t>
  </si>
  <si>
    <t>1. We took the metro to get to the museum faster. 2. She lives in the metro area of the city.</t>
  </si>
  <si>
    <t>pricing</t>
  </si>
  <si>
    <t>n. 定價；價格策略</t>
  </si>
  <si>
    <t>1. The company reviewed its pricing strategy for the new product. 2. Competitive pricing is key to attracting customers.</t>
  </si>
  <si>
    <t>express</t>
  </si>
  <si>
    <t>adj. 快速的；明確的 n. 快車；快遞 v. 表達</t>
  </si>
  <si>
    <t>1. She took the express train to save time. 2. He sent the package by express delivery. 3. It's important to express your feelings clearly.</t>
  </si>
  <si>
    <t>transportation</t>
  </si>
  <si>
    <t>n. 交通運輸；運輸工具</t>
  </si>
  <si>
    <t>1. Public transportation in this city is very convenient. 2. The company provides transportation for its employees.</t>
  </si>
  <si>
    <t>outgoing</t>
  </si>
  <si>
    <t>adj. 外向的；即將離任的</t>
  </si>
  <si>
    <t>1. She is very outgoing and loves meeting new people. 2. The outgoing president gave a farewell speech.</t>
  </si>
  <si>
    <t>shortage</t>
  </si>
  <si>
    <t>n. 短缺；不足</t>
  </si>
  <si>
    <t>1. There is a shortage of nurses in rural areas. 2. The drought caused a shortage of clean water.</t>
  </si>
  <si>
    <t>inquiry</t>
  </si>
  <si>
    <t>n. 詢問；調查</t>
  </si>
  <si>
    <t>1. She made an inquiry about the job opening. 2. The police launched an inquiry into the accident.</t>
  </si>
  <si>
    <t>suit</t>
  </si>
  <si>
    <t>n. 套裝；訴訟 v. 適合；合身</t>
  </si>
  <si>
    <t>1. He wore a suit to the job interview. 2. She filed a suit against the company. 3. The schedule suits everyone perfectly.</t>
  </si>
  <si>
    <t>distractor</t>
  </si>
  <si>
    <t>n. 干擾物；（考試）錯誤選項</t>
  </si>
  <si>
    <t>1. Social media is a major distractor for students. 2. In multiple-choice tests, the wrong options are called distractors.</t>
  </si>
  <si>
    <t>take over</t>
  </si>
  <si>
    <t>phr. 接管；接手；接替</t>
  </si>
  <si>
    <t>1. She will take over as manager next month. 2. The new company took over all operations after the merger.</t>
  </si>
  <si>
    <t>lodge</t>
  </si>
  <si>
    <t>n. 小屋；旅館；分會 v. 住宿；提出（投訴）</t>
  </si>
  <si>
    <t>1. They stayed at a cozy mountain lodge. 2. He lodged a complaint with the hotel manager. 3. She lodged at a local inn during her trip.</t>
  </si>
  <si>
    <t>cashier</t>
  </si>
  <si>
    <t>n. 收銀員；出納員</t>
  </si>
  <si>
    <t>The cashier scanned all the items quickly and gave the customer the receipt.</t>
  </si>
  <si>
    <t>timeline</t>
  </si>
  <si>
    <t>n. 時間軸；時程表</t>
  </si>
  <si>
    <t>1. The project timeline shows all the important deadlines. 2. Can you give me a timeline for when this will be finished?</t>
  </si>
  <si>
    <t>dietary</t>
  </si>
  <si>
    <t>adj. 飲食的；飲食方面的</t>
  </si>
  <si>
    <t>1. She follows strict dietary guidelines due to her health condition. 2. The restaurant offers options for various dietary needs.</t>
  </si>
  <si>
    <t>nutritional</t>
  </si>
  <si>
    <t>adj. 營養的；有關營養的</t>
  </si>
  <si>
    <t>1. The nutritional value of vegetables is very high. 2. Please check the nutritional label before buying the product.</t>
  </si>
  <si>
    <t>waterproof</t>
  </si>
  <si>
    <t>adj. 防水的 v. 使防水 n. 防水材料</t>
  </si>
  <si>
    <t>1. Make sure your jacket is waterproof before hiking in the rain. 2. They waterproofed the basement to prevent flooding.</t>
  </si>
  <si>
    <t>turn in</t>
  </si>
  <si>
    <t>phr. 繳交；上交；就寢</t>
  </si>
  <si>
    <t>1. Please turn in your homework by Friday. 2. She turned in early because she was exhausted.</t>
  </si>
  <si>
    <t>compromise</t>
  </si>
  <si>
    <t>n./v. 妥協；折衷；危及</t>
  </si>
  <si>
    <t>1. They reached a compromise after hours of negotiation. 2. Never compromise your principles for the sake of others. 3. The data breach compromised the security of the system.</t>
  </si>
  <si>
    <t>sharply</t>
  </si>
  <si>
    <t>adv. 急劇地；嚴厲地；敏銳地</t>
  </si>
  <si>
    <t>1. The temperature dropped sharply overnight. 2. She spoke sharply to the employee who made the mistake.</t>
  </si>
  <si>
    <t>gradually</t>
  </si>
  <si>
    <t>adv. 逐漸地；慢慢地</t>
  </si>
  <si>
    <t>1. The weather gradually improved throughout the day. 2. She gradually got used to living abroad.</t>
  </si>
  <si>
    <t>vegetarian</t>
  </si>
  <si>
    <t>n. 素食者 adj. 素食的</t>
  </si>
  <si>
    <t>1. She has been a vegetarian for ten years. 2. The restaurant offers a vegetarian menu.</t>
  </si>
  <si>
    <t>excursion</t>
  </si>
  <si>
    <t>n. 短途旅行；遠足</t>
  </si>
  <si>
    <t>1. The school organized an excursion to the science museum. 2. They went on a day excursion to a nearby island.</t>
  </si>
  <si>
    <t>verify</t>
  </si>
  <si>
    <t>v. 確認；核實；證明</t>
  </si>
  <si>
    <t>1. Please verify your email address to complete the registration. 2. The police verified the suspect's alibi.</t>
  </si>
  <si>
    <t>undercharge</t>
  </si>
  <si>
    <t>v. 少收費；收費不足</t>
  </si>
  <si>
    <t>1. The waiter accidentally undercharged us for the meal. 2. The store undercharged her by $5.</t>
  </si>
  <si>
    <t>overdue</t>
  </si>
  <si>
    <t>adj. 逾期的；遲到的；早該發生的</t>
  </si>
  <si>
    <t>1. The library book is overdue and I need to return it. 2. A pay raise is long overdue for the employees.</t>
  </si>
  <si>
    <t>telecommute</t>
  </si>
  <si>
    <t>v. 遠距工作；在家辦公</t>
  </si>
  <si>
    <t>1. Many employees now telecommute at least two days a week. 2. She started telecommuting after the pandemic.</t>
  </si>
  <si>
    <t>workshop</t>
  </si>
  <si>
    <t>n. 研討會；工作坊；工作室</t>
  </si>
  <si>
    <t>1. She attended a writing workshop last weekend. 2. The carpenter works in his workshop every evening.</t>
  </si>
  <si>
    <t>landmark</t>
  </si>
  <si>
    <t>n. 地標；里程碑 adj. 具有里程碑意義的</t>
  </si>
  <si>
    <t>1. The Eiffel Tower is one of the most famous landmarks in the world. 2. The peace agreement was a landmark moment in history.</t>
  </si>
  <si>
    <t>deadlock</t>
  </si>
  <si>
    <t>n. 僵局；死鎖 v. 使陷入僵局</t>
  </si>
  <si>
    <t>1. The negotiations reached a deadlock after three days. 2. The two sides were deadlocked over the issue of wages.</t>
  </si>
  <si>
    <t>standstill</t>
  </si>
  <si>
    <t>n. 停頓；停滯不前</t>
  </si>
  <si>
    <t>1. Traffic came to a standstill due to the accident. 2. The project was at a standstill while waiting for funding.</t>
  </si>
  <si>
    <t>stalemate</t>
  </si>
  <si>
    <t>n. 僵局；（西洋棋）和局 v. 使陷入僵局</t>
  </si>
  <si>
    <t>1. The peace talks ended in a stalemate. 2. The chess game reached a stalemate after 40 moves.</t>
  </si>
  <si>
    <t>attendant</t>
  </si>
  <si>
    <t>n. 服務員；隨從 adj. 伴隨的</t>
  </si>
  <si>
    <t>1. The flight attendant helped passengers with their luggage. 2. There are many attendant risks with starting a new business.</t>
  </si>
  <si>
    <t>steward</t>
  </si>
  <si>
    <t>n. 服務員；管家；財產管理人</t>
  </si>
  <si>
    <t>1. The steward served food and drinks to the passengers. 2. He was chosen as the steward of the estate.</t>
  </si>
  <si>
    <t>platform</t>
  </si>
  <si>
    <t>n. 月台；平台；政黨政綱</t>
  </si>
  <si>
    <t>1. The train arrived at platform 3. 2. She used social media as a platform to share her ideas. 3. The party announced its platform before the election.</t>
  </si>
  <si>
    <t>overbook</t>
  </si>
  <si>
    <t>v. 超額訂位；超額預訂</t>
  </si>
  <si>
    <t>1. The airline overbookedthe flight, so some passengers were denied boarding. 2. Hotels sometimes overbook rooms during peak season.</t>
  </si>
  <si>
    <t>mediocre</t>
  </si>
  <si>
    <t>adj. 平庸的；普通的</t>
  </si>
  <si>
    <t>1. The movie received mediocre reviews from critics. 2. His performance at work has been mediocre lately.</t>
  </si>
  <si>
    <t>unpaid</t>
  </si>
  <si>
    <t>adj. 未付款的；無薪的</t>
  </si>
  <si>
    <t>1. She took unpaid leave to care for her sick mother. 2. There are several unpaid bills on the table.</t>
  </si>
  <si>
    <t>minister</t>
  </si>
  <si>
    <t>n. 部長；牧師 v. 照料；服務</t>
  </si>
  <si>
    <t>1. He was appointed as the Minister of Education. 2. The minister gave a sermon at the church. 3. Doctors and nurses minister to the sick.</t>
  </si>
  <si>
    <t>ministry</t>
  </si>
  <si>
    <t>n. 部；部門；牧師職務</t>
  </si>
  <si>
    <t>1. The Ministry of Health announced new guidelines. 2. He devoted his life to the ministry.</t>
  </si>
  <si>
    <t>secretary</t>
  </si>
  <si>
    <t>n. 秘書；部長；書記</t>
  </si>
  <si>
    <t>1. The secretary scheduled all the meetings for the week. 2. She was appointed Secretary of State.</t>
  </si>
  <si>
    <t>symposium</t>
  </si>
  <si>
    <t>n. 研討會；座談會</t>
  </si>
  <si>
    <t>1. She presented her research at an international symposium. 2. The university hosted a symposium on climate change.</t>
  </si>
  <si>
    <t>defective</t>
  </si>
  <si>
    <t>adj. 有缺陷的；有瑕疵的</t>
  </si>
  <si>
    <t>1. The company recalled the defective products. 2. A defective wire caused the power outage.</t>
  </si>
  <si>
    <t>flawless</t>
  </si>
  <si>
    <t>adj. 完美的；無瑕的</t>
  </si>
  <si>
    <t>1. Her performance was absolutely flawless. 2. The diamond was described as flawless by the jeweler.</t>
  </si>
  <si>
    <t>faulty</t>
  </si>
  <si>
    <t>adj. 有故障的；有缺陷的</t>
  </si>
  <si>
    <t>1. The faulty wiring caused a fire in the building. 2. He returned the faulty device to the store.</t>
  </si>
  <si>
    <t>unavailable</t>
  </si>
  <si>
    <t>adj. 無法獲得的；不在的；忙碌的</t>
  </si>
  <si>
    <t>1. The product is currently unavailable online. 2. She is unavailable for meetings this afternoon.</t>
  </si>
  <si>
    <t>in-flight</t>
  </si>
  <si>
    <t>adj. 飛行中的；機上的</t>
  </si>
  <si>
    <t>1. The airline offers free in-flight meals on long-haul routes. 2. She watched an in-flight movie to pass the time.</t>
  </si>
  <si>
    <t>bound</t>
  </si>
  <si>
    <t>adj. 必定的；受約束的；開往...的 v. 跳躍；限制</t>
  </si>
  <si>
    <t>1. This train is bound for Tokyo. 2. She is bound to succeed with her talent. 3. He bounded up the stairs two at a time.</t>
  </si>
  <si>
    <t>freight</t>
  </si>
  <si>
    <t>n. 貨物；運費 v. 運送貨物</t>
  </si>
  <si>
    <t>1. The freight arrived at the warehouse on time. 2. The company freights goods all over the world.</t>
  </si>
  <si>
    <t>conform</t>
  </si>
  <si>
    <t>v. 遵守；符合；順從</t>
  </si>
  <si>
    <t>1. All employees must conform to the company's dress code. 2. The building conforms to the latest safety standards.</t>
  </si>
  <si>
    <t>headquarter</t>
  </si>
  <si>
    <t>v. 將...設為總部 n. (headquarters) 總部；司令部</t>
  </si>
  <si>
    <t>1. The company is headquartered in New York. 2. The headquarters of the United Nations is in Geneva.</t>
  </si>
  <si>
    <t>branch</t>
  </si>
  <si>
    <t>n. 分公司；分部；樹枝；支流 v. 分叉；擴展</t>
  </si>
  <si>
    <t>1. Our company has a branch in Tokyo. 2. A bird sat on the branch of the tree. 3. After years in accounting, she decided to branch out into consulting.</t>
  </si>
  <si>
    <t>feasibility</t>
  </si>
  <si>
    <t>n. 可行性；可能性</t>
  </si>
  <si>
    <t>1. The company conducted a feasibility study before launching the project. 2. Engineers assessed the feasibility of building a bridge across the river.</t>
  </si>
  <si>
    <t>tariff</t>
  </si>
  <si>
    <t>n. 關稅；收費表 v. 徵收關稅</t>
  </si>
  <si>
    <t>1. The government raised tariffs on imported goods. 2. The hotel's tariff includes breakfast and dinner.</t>
  </si>
  <si>
    <t>quit</t>
  </si>
  <si>
    <t>v. 離職；停止；放棄</t>
  </si>
  <si>
    <t>1. She decided to quit her job and start her own business. 2. He quit smoking five years ago. 3. The player quit the game after getting injured.</t>
  </si>
  <si>
    <t>brokerage</t>
  </si>
  <si>
    <t>n. 經紀業；仲介費；經紀公司</t>
  </si>
  <si>
    <t>1. He opened an account with a brokerage firm to invest in stocks. 2. The brokerage charged a 2% fee for the transaction.</t>
  </si>
  <si>
    <t>withdrawal</t>
  </si>
  <si>
    <t>n. 提款；撤回；退出；戒斷</t>
  </si>
  <si>
    <t>1. She made a cash withdrawal from the ATM. 2. The withdrawal of troops ended the conflict. 3. He experienced withdrawal symptoms after quitting caffeine.</t>
  </si>
  <si>
    <t>usage</t>
  </si>
  <si>
    <t>n. 使用；用法；用量</t>
  </si>
  <si>
    <t>1. Water usage has increased during the summer. 2. This grammar guide explains the correct usage of each tense.</t>
  </si>
  <si>
    <t>yard</t>
  </si>
  <si>
    <t>n. 庭院；碼（長度單位）；場地</t>
  </si>
  <si>
    <t>1. The children played in the yard after school. 2. The fabric costs $10 per yard. 3. The lumber was stored in the yard.</t>
  </si>
  <si>
    <t>remuneration</t>
  </si>
  <si>
    <t>n. 報酬；薪資；補償</t>
  </si>
  <si>
    <t>1. The job offers excellent remuneration and benefits. 2. Employees expect fair remuneration for their work.</t>
  </si>
  <si>
    <t>operation</t>
  </si>
  <si>
    <t>n. 操作；運作；手術；行動</t>
  </si>
  <si>
    <t>1. The machine is in full operation now. 2. She underwent a heart operation last month. 3. The military operation was a success.</t>
  </si>
  <si>
    <t>vacant</t>
  </si>
  <si>
    <t>adj. 空的；空缺的；茫然的</t>
  </si>
  <si>
    <t>1. There is a vacant apartment on the third floor. 2. The vacant position has been open for two months. 3. She stared at the wall with a vacant expression.</t>
  </si>
  <si>
    <t>satisfaction</t>
  </si>
  <si>
    <t>n. 滿足；滿意；賠償</t>
  </si>
  <si>
    <t>1. She expressed her satisfaction with the results. 2. Customer satisfaction is our top priority.</t>
  </si>
  <si>
    <t>renter</t>
  </si>
  <si>
    <t>n. 租用者；房客</t>
  </si>
  <si>
    <t>1. The renter signed a one-year lease agreement. 2. Renters in the city face rising housing costs.</t>
  </si>
  <si>
    <t>guidance</t>
  </si>
  <si>
    <t>n. 指導；引導；建議</t>
  </si>
  <si>
    <t>1. She sought guidance from her mentor before making the decision. 2. The teacher provided guidance to help students improve their writing.</t>
  </si>
  <si>
    <t>landscape</t>
  </si>
  <si>
    <t>n. 風景；地形；局面 v. 美化（景觀）</t>
  </si>
  <si>
    <t>1. The mountain landscape was breathtaking. 2. The political landscape changed after the election. 3. They hired a company to landscape their garden.</t>
  </si>
  <si>
    <t>carry out</t>
  </si>
  <si>
    <t>phr. 執行；實施；完成</t>
  </si>
  <si>
    <t>1. The team carried out the plan successfully. 2. She carried out all her duties without complaint.</t>
  </si>
  <si>
    <t>interest</t>
  </si>
  <si>
    <t>n. 興趣；利息；利益 v. 使感興趣</t>
  </si>
  <si>
    <t>1. She has a strong interest in photography. 2. The bank charges 5% interest on loans. 3. He acts in the interest of the company. 4. The documentary interested me a lot.</t>
  </si>
  <si>
    <t>immigration</t>
  </si>
  <si>
    <t>n. 移民；入境；移民局</t>
  </si>
  <si>
    <t>1. Immigration laws have become stricter in recent years. 2. She went through immigration when she arrived at the airport.</t>
  </si>
  <si>
    <t>vessel</t>
  </si>
  <si>
    <t>n. 船隻；容器；血管</t>
  </si>
  <si>
    <t>1. A large cargo vessel docked at the port. 2. She poured the soup into a ceramic vessel. 3. Blood vessels carry oxygen throughout the body.</t>
  </si>
  <si>
    <t>welfare</t>
  </si>
  <si>
    <t>n. 福利；幸福；福祉</t>
  </si>
  <si>
    <t>1. The government provides welfare for low-income families. 2. The organization works to improve the welfare of animals.</t>
  </si>
  <si>
    <t>billing</t>
  </si>
  <si>
    <t>n. 帳單；計費；廣告宣傳</t>
  </si>
  <si>
    <t>1. Please check your billing statement at the end of the month. 2. She handles all the billing for the company. 3. The actor received top billing in the film.</t>
  </si>
  <si>
    <t>quorum</t>
  </si>
  <si>
    <t>n. 法定人數；最低出席人數</t>
  </si>
  <si>
    <t>1. The meeting could not proceed because there was no quorum. 2. A quorum of five members is required to vote on the proposal.</t>
  </si>
  <si>
    <t>formula</t>
  </si>
  <si>
    <t>n. 公式；配方；方案</t>
  </si>
  <si>
    <t>1. The scientist developed a new formula for the medicine. 2. There is no magic formula for success. 3. Baby formula is sold in most supermarkets.</t>
  </si>
  <si>
    <t>enjoyable</t>
  </si>
  <si>
    <t>adj. 令人愉快的；有趣的</t>
  </si>
  <si>
    <t>1. The trip was very enjoyable from start to finish. 2. She found the cooking class enjoyable and relaxing.</t>
  </si>
  <si>
    <t>tourism</t>
  </si>
  <si>
    <t>n. 旅遊業；觀光</t>
  </si>
  <si>
    <t>1. Tourism is an important part of the country's economy. 2. The city is trying to attract more tourism by building new attractions.</t>
  </si>
  <si>
    <t>bring up</t>
  </si>
  <si>
    <t>phr. 提出；養育；提及</t>
  </si>
  <si>
    <t>1. She brought up an important issue during the meeting. 2. He was brought up by his grandparents in the countryside.</t>
  </si>
  <si>
    <t>periodical</t>
  </si>
  <si>
    <t>n. 期刊；雜誌 adj. 定期的；週期性的</t>
  </si>
  <si>
    <t>1. The library subscribes to many scientific periodicals. 2. She does periodical check-ups to monitor her health.</t>
  </si>
  <si>
    <t>concierge</t>
  </si>
  <si>
    <t>n. 門房；禮賓服務員</t>
  </si>
  <si>
    <t>1. The concierge helped us book tickets for the theater. 2. She asked the hotel concierge for restaurant recommendations.</t>
  </si>
  <si>
    <t>technical</t>
  </si>
  <si>
    <t>adj. 技術的；技巧的；專業的</t>
  </si>
  <si>
    <t>1. The manual contains many technical terms. 2. She has strong technical skills in software development.</t>
  </si>
  <si>
    <t>dispatch</t>
  </si>
  <si>
    <t>n./v. 派遣；發送；迅速處理</t>
  </si>
  <si>
    <t>1. The company dispatched a repair team to the site. 2. The police dispatch received an emergency call. 3. She dispatched all her tasks before noon.</t>
  </si>
  <si>
    <t>modify</t>
  </si>
  <si>
    <t>v. 修改；調整；修飾</t>
  </si>
  <si>
    <t>1. The engineer modified the design to improve efficiency. 2. She modified her diet after the doctor's advice.</t>
  </si>
  <si>
    <t>court</t>
  </si>
  <si>
    <t>n. 法院；球場；宮廷；庭院 v. 追求；討好</t>
  </si>
  <si>
    <t>1. The case was brought to court last Monday. 2. They played tennis on the court outside. 3. He courted her for two years before they got married.</t>
  </si>
  <si>
    <t>satisfactory</t>
  </si>
  <si>
    <t>adj. 令人滿意的；夠好的</t>
  </si>
  <si>
    <t>1. Her work performance has been satisfactory this quarter. 2. The inspection results were satisfactory, so no changes were needed.</t>
  </si>
  <si>
    <t>jewelry</t>
  </si>
  <si>
    <t>n. 珠寶；首飾</t>
  </si>
  <si>
    <t>1. She wore beautiful jewelry to the party. 2. He bought her a piece of jewelry for their anniversary.</t>
  </si>
  <si>
    <t>itinerary</t>
  </si>
  <si>
    <t>n. 行程；旅遊路線；旅行計畫</t>
  </si>
  <si>
    <t>1. The travel agent sent us a detailed itinerary for the trip. 2. Our itinerary includes visits to three cities in five days.</t>
  </si>
  <si>
    <t>relocation</t>
  </si>
  <si>
    <t>n. 遷移；搬遷；調職</t>
  </si>
  <si>
    <t>1. The company offered a relocation package to employees moving to the new office. 2. His relocation to another city was difficult for his family.</t>
  </si>
  <si>
    <t>deficit</t>
  </si>
  <si>
    <t>n. 赤字；虧損；不足</t>
  </si>
  <si>
    <t>1. The government is trying to reduce the budget deficit. 2. The team overcame a three-goal deficit to win the game.</t>
  </si>
  <si>
    <t>surplus</t>
  </si>
  <si>
    <t>n. 盈餘；過剩 adj. 多餘的；剩餘的</t>
  </si>
  <si>
    <t>1. The country has a trade surplus this year. 2. The surplus food was donated to a local charity.</t>
  </si>
  <si>
    <t>shortfall</t>
  </si>
  <si>
    <t>n. 短缺；不足額；差額</t>
  </si>
  <si>
    <t>1. There is a shortfall of $50,000 in the company's budget. 2. The shortfall in supplies caused delays in production.</t>
  </si>
  <si>
    <t>nowhere</t>
  </si>
  <si>
    <t>adv. 哪裡都不；無處 n. 無處；荒僻之地</t>
  </si>
  <si>
    <t>1. I looked everywhere but the keys were nowhere to be found. 2. The small town seemed to be in the middle of nowhere.</t>
  </si>
  <si>
    <t>formerly</t>
  </si>
  <si>
    <t>adv. 以前；從前</t>
  </si>
  <si>
    <t>1. She was formerly the CEO of a major tech company. 2. The building was formerly used as a warehouse.</t>
  </si>
  <si>
    <t>collaborative</t>
  </si>
  <si>
    <t>adj. 合作的；協作的</t>
  </si>
  <si>
    <t>1. The project was a collaborative effort between two universities. 2. She has a collaborative working style and enjoys teamwork.</t>
  </si>
  <si>
    <t>spacious</t>
  </si>
  <si>
    <t>adj. 寬敞的；廣闊的</t>
  </si>
  <si>
    <t>1. The new office is very spacious and comfortable. 2. They moved to a more spacious house after having children.</t>
  </si>
  <si>
    <t>impact</t>
  </si>
  <si>
    <t>n. 衝擊；影響 v. 對...有影響；撞擊</t>
  </si>
  <si>
    <t>1. The new policy had a major impact on small businesses. 2. The meteor impacted the surface of the earth. 3. Social media impacts how people communicate.</t>
  </si>
  <si>
    <t>prototype</t>
  </si>
  <si>
    <t>n. 原型；雛形；典型</t>
  </si>
  <si>
    <t>1. The engineers built a prototype of the new device. 2. She is the prototype of a dedicated employee.</t>
  </si>
  <si>
    <t>algorithm</t>
  </si>
  <si>
    <t>n. 演算法；計算程序</t>
  </si>
  <si>
    <t>1. The search engine uses an algorithm to rank websites. 2. She studied algorithms as part of her computer science degree.</t>
  </si>
  <si>
    <t>promptly</t>
  </si>
  <si>
    <t>adv. 迅速地；準時地</t>
  </si>
  <si>
    <t>1. She replied to the email promptly. 2. The ambulance arrived promptly after the emergency call.</t>
  </si>
  <si>
    <t>rating</t>
  </si>
  <si>
    <t>n. 評分；等級；收視率</t>
  </si>
  <si>
    <t>1. The movie received a high rating from critics. 2. The TV show's rating dropped significantly this season.</t>
  </si>
  <si>
    <t>getaway</t>
  </si>
  <si>
    <t>n. 短暫假期；逃脫；逃跑 adj. 用於逃跑的</t>
  </si>
  <si>
    <t>1. They planned a weekend getaway to the mountains. 2. The robbers used a motorcycle as a getaway vehicle.</t>
  </si>
  <si>
    <t>plumber</t>
  </si>
  <si>
    <t>n. 水管工；管道工</t>
  </si>
  <si>
    <t>1. She called a plumber to fix the leaking pipe. 2. The plumber installed a new water heater in the bathroom.</t>
  </si>
  <si>
    <t>requisition</t>
  </si>
  <si>
    <t>n. 申請單；徵用 v. 申請；徵用</t>
  </si>
  <si>
    <t>1. She submitted a requisition for new office supplies. 2. The military requisitioned vehicles during the emergency.</t>
  </si>
  <si>
    <t>elevator</t>
  </si>
  <si>
    <t>n. 電梯（美式）；升降機</t>
  </si>
  <si>
    <t>1. Take the elevator to the tenth floor. 2. The elevator was out of order, so we had to use the stairs.</t>
  </si>
  <si>
    <t>lift</t>
  </si>
  <si>
    <t>n. 電梯（英式）；搭便車；提升 v. 舉起；提升；解除</t>
  </si>
  <si>
    <t>1. Take the lift to the third floor. 2. Can you give me a lift to the station? 3. He lifted the heavy box onto the shelf. 4. The government lifted the travel ban.</t>
  </si>
  <si>
    <t>misidentify</t>
  </si>
  <si>
    <t>v. 錯誤辨識；認錯</t>
  </si>
  <si>
    <t>1. The witness misidentified the suspect in the lineup. 2. He misidentified the plant as edible, which caused problems.</t>
  </si>
  <si>
    <t>stipulate</t>
  </si>
  <si>
    <t>v. 規定；明確要求；約定</t>
  </si>
  <si>
    <t>1. The contract stipulates that payment must be made within 30 days. 2. The agreement stipulates equal rights for all parties.</t>
  </si>
  <si>
    <t>info</t>
  </si>
  <si>
    <t>n. 資訊；情報（information的縮寫）</t>
  </si>
  <si>
    <t>1. Can you send me the info about the meeting? 2. For more info, please visit our website.</t>
  </si>
  <si>
    <t>fulfill</t>
  </si>
  <si>
    <t>v. 履行；實現；滿足</t>
  </si>
  <si>
    <t>1. She fulfilled all the requirements for the job. 2. He worked hard to fulfill his dream of becoming a doctor.</t>
  </si>
  <si>
    <t>outlet</t>
  </si>
  <si>
    <t>n. 出口；插座；發洩管道；零售商店</t>
  </si>
  <si>
    <t>1. Please plug the charger into the outlet. 2. There is an outlet mall near the highway. 3. Exercise is a good outlet for stress.</t>
  </si>
  <si>
    <t>roof</t>
  </si>
  <si>
    <t>n. 屋頂；最高點 v. 蓋屋頂</t>
  </si>
  <si>
    <t>1. The roof was damaged by the storm. 2. The price of housing has gone through the roof. 3. They roofed the building with solar panels.</t>
  </si>
  <si>
    <t>specialize</t>
  </si>
  <si>
    <t>v. 專攻；專門從事</t>
  </si>
  <si>
    <t>1. She specializes in corporate law. 2. The restaurant specializes in authentic Italian cuisine.</t>
  </si>
  <si>
    <t>checkup</t>
  </si>
  <si>
    <t>n. 健康檢查；例行檢查</t>
  </si>
  <si>
    <t>1. She went to the doctor for an annual checkup. 2. The mechanic did a full checkup on the car before the road trip.</t>
  </si>
  <si>
    <t>garment</t>
  </si>
  <si>
    <t>n. 衣物；服裝</t>
  </si>
  <si>
    <t>1. The garment factory produces thousands of shirts per day. 2. Each garment is inspected before it is shipped.</t>
  </si>
  <si>
    <t>hometown</t>
  </si>
  <si>
    <t>n. 家鄉；故鄉</t>
  </si>
  <si>
    <t>1. She moved back to her hometown after retiring. 2. He always talks fondly about his hometown.</t>
  </si>
  <si>
    <t>guest</t>
  </si>
  <si>
    <t>n. 客人；來賓；房客 adj. 特邀的</t>
  </si>
  <si>
    <t>1. We have a guest staying with us this week. 2. The talk show invited a famous singer as a guest. 3. She is a guest lecturer at the university.</t>
  </si>
  <si>
    <t>current</t>
  </si>
  <si>
    <t>adj. 目前的；當前的 n. 水流；電流；潮流</t>
  </si>
  <si>
    <t>1. What is your current address? 2. The river current was too strong to swim against. 3. She keeps up with current trends in fashion.</t>
  </si>
  <si>
    <t>residential</t>
  </si>
  <si>
    <t>adj. 住宅的；居住的</t>
  </si>
  <si>
    <t>1. They live in a quiet residential neighborhood. 2. The building permit is only for residential use.</t>
  </si>
  <si>
    <t>out-of-date</t>
  </si>
  <si>
    <t>adj. 過時的；過期的</t>
  </si>
  <si>
    <t>1. His software is out-of-date and needs to be updated. 2. The out-of-date information led to a mistake.</t>
  </si>
  <si>
    <t>advancement</t>
  </si>
  <si>
    <t>n. 進步；晉升；提升</t>
  </si>
  <si>
    <t>1. There have been major advancements in medical technology. 2. She is looking for a job with opportunities for advancement.</t>
  </si>
  <si>
    <t>encryption</t>
  </si>
  <si>
    <t>n. 加密；加密技術</t>
  </si>
  <si>
    <t>1. The company uses strong encryption to protect customer data. 2. End-to-end encryption keeps your messages private.</t>
  </si>
  <si>
    <t>decryption</t>
  </si>
  <si>
    <t>n. 解密；解碼</t>
  </si>
  <si>
    <t>1. Decryption of the file requires a special key. 2. The team worked on decryption of the encrypted message.</t>
  </si>
  <si>
    <t>ciphering</t>
  </si>
  <si>
    <t>n. 加密；密碼編寫</t>
  </si>
  <si>
    <t>1. Ciphering is used to protect sensitive information from unauthorized access. 2. The spy used a ciphering method to send secret messages.</t>
  </si>
  <si>
    <t>invest</t>
  </si>
  <si>
    <t>v. 投資；投入；授予</t>
  </si>
  <si>
    <t>1. She decided to invest her savings in real estate. 2. He invests a lot of time in learning new skills.</t>
  </si>
  <si>
    <t>invoice</t>
  </si>
  <si>
    <t>n. 發票；帳單 v. 開發票</t>
  </si>
  <si>
    <t>1. The supplier sent an invoice for the goods delivered. 2. Please invoice us at the end of each month.</t>
  </si>
  <si>
    <t>get along</t>
  </si>
  <si>
    <t>phr. 相處融洽；進展；過活</t>
  </si>
  <si>
    <t>1. She gets along well with all her coworkers. 2. How are you getting along with your new project?</t>
  </si>
  <si>
    <t>harmonize</t>
  </si>
  <si>
    <t>v. 使和諧；協調；相一致</t>
  </si>
  <si>
    <t>1. The two departments need to harmonize their policies. 2. The singers harmonized beautifully during the performance.</t>
  </si>
  <si>
    <t>valuable</t>
  </si>
  <si>
    <t>adj. 有價值的；珍貴的 n. 貴重物品</t>
  </si>
  <si>
    <t>1. Time is the most valuable resource we have. 2. She keeps her valuables in a safe.</t>
  </si>
  <si>
    <t>collate</t>
  </si>
  <si>
    <t>v. 整理；核對；裝訂</t>
  </si>
  <si>
    <t>1. She collated all the research findings into one report. 2. The printer collates pages automatically.</t>
  </si>
  <si>
    <t>dependable</t>
  </si>
  <si>
    <t>adj. 可靠的；可信賴的</t>
  </si>
  <si>
    <t>1. She is a dependable employee who always meets deadlines. 2. We need a dependable supplier for our products.</t>
  </si>
  <si>
    <t>trustworthy</t>
  </si>
  <si>
    <t>adj. 值得信賴的；誠實可靠的</t>
  </si>
  <si>
    <t>1. He is trustworthy and never shares confidential information. 2. A good leader must be trustworthy and fair.</t>
  </si>
  <si>
    <t>hazard</t>
  </si>
  <si>
    <t>n. 危險；危害 v. 冒險；嘗試</t>
  </si>
  <si>
    <t>1. Icy roads are a major driving hazard in winter. 2. He hazarded a guess about the answer.</t>
  </si>
  <si>
    <t>webinar</t>
  </si>
  <si>
    <t>n. 網路研討會；線上講座</t>
  </si>
  <si>
    <t>1. She attended a webinar on digital marketing. 2. The company hosts monthly webinars for its customers.</t>
  </si>
  <si>
    <t>understate</t>
  </si>
  <si>
    <t>v. 輕描淡寫；低估；低報</t>
  </si>
  <si>
    <t>1. The report understated the severity of the problem. 2. He tended to understate his achievements.</t>
  </si>
  <si>
    <t>shipment</t>
  </si>
  <si>
    <t>n. 貨物；一批貨；裝運</t>
  </si>
  <si>
    <t>1. The shipment of goods arrived at the warehouse on Monday. 2. We are expecting a large shipment next week.</t>
  </si>
  <si>
    <t>mansion</t>
  </si>
  <si>
    <t>n. 豪宅；大廈</t>
  </si>
  <si>
    <t>1. The millionaire lives in a large mansion by the sea. 2. The old mansion was turned into a hotel.</t>
  </si>
  <si>
    <t>janitor</t>
  </si>
  <si>
    <t>n. 清潔工；看門人；工友</t>
  </si>
  <si>
    <t>1. The janitor cleaned the hallways every morning. 2. She thanked the janitor for keeping the building so clean.</t>
  </si>
  <si>
    <t>gallery</t>
  </si>
  <si>
    <t>n. 畫廊；美術館；走廊；觀眾席</t>
  </si>
  <si>
    <t>1. She visited an art gallery in the city center. 2. The gallery was filled with works by local artists. 3. The audience in the gallery applauded loudly.</t>
  </si>
  <si>
    <t>nowadays</t>
  </si>
  <si>
    <t>adv. 現今；如今；當今</t>
  </si>
  <si>
    <t>1. Nowadays, most people use smartphones for everything. 2. It is hard to find a job nowadays without a college degree.</t>
  </si>
  <si>
    <t>postal</t>
  </si>
  <si>
    <t>adj. 郵政的；郵寄的</t>
  </si>
  <si>
    <t>1. She wrote down her postal address on the form. 2. The postal service delivers mail six days a week.</t>
  </si>
  <si>
    <t>count on</t>
  </si>
  <si>
    <t>phr. 依靠；指望；信賴</t>
  </si>
  <si>
    <t>1. You can always count on her to get the job done. 2. We're counting on good weather for the outdoor event.</t>
  </si>
  <si>
    <t>utensil</t>
  </si>
  <si>
    <t>n. 器具；用具；廚具</t>
  </si>
  <si>
    <t>1. She organized all the kitchen utensils in the drawer. 2. Proper utensils are needed for cooking.</t>
  </si>
  <si>
    <t>niche</t>
  </si>
  <si>
    <t>n. 利基；合適的位置；壁龕 adj. 針對特定市場的</t>
  </si>
  <si>
    <t>1. She found her niche in the fashion industry. 2. The company targets a niche market of high-end customers.</t>
  </si>
  <si>
    <t>specialty</t>
  </si>
  <si>
    <t>n. 專業；特產；招牌菜</t>
  </si>
  <si>
    <t>1. Her specialty is tax law. 2. The restaurant's specialty is grilled seafood.</t>
  </si>
  <si>
    <t>mainstream</t>
  </si>
  <si>
    <t>n. 主流 adj. 主流的</t>
  </si>
  <si>
    <t>1. Electric cars are now part of the mainstream. 2. Mainstream media often ignores local stories.</t>
  </si>
  <si>
    <t>overtime</t>
  </si>
  <si>
    <t>n. 加班；延長賽 adv. 加班地</t>
  </si>
  <si>
    <t>1. She worked overtime to finish the report. 2. The game went into overtime after a tie. 3. Employees are paid extra for working overtime.</t>
  </si>
  <si>
    <t>wireless</t>
  </si>
  <si>
    <t>adj. 無線的 n. 無線網路；無線電</t>
  </si>
  <si>
    <t>1. The office has wireless internet access. 2. She bought a pair of wireless headphones.</t>
  </si>
  <si>
    <t>sublet</t>
  </si>
  <si>
    <t>v. 轉租；分租 n. 轉租</t>
  </si>
  <si>
    <t>1. She sublet her apartment while she was traveling abroad. 2. He found a sublet near the university for the semester.</t>
  </si>
  <si>
    <t>excellence</t>
  </si>
  <si>
    <t>n. 優秀；卓越；傑出</t>
  </si>
  <si>
    <t>1. The award recognizes excellence in teaching. 2. She is committed to excellence in everything she does.</t>
  </si>
  <si>
    <t>mediocrity</t>
  </si>
  <si>
    <t>n. 平庸；平凡；平庸之人</t>
  </si>
  <si>
    <t>1. He refused to accept mediocrity in his work. 2. The report criticized the mediocrity of the team's performance.</t>
  </si>
  <si>
    <t>enhance</t>
  </si>
  <si>
    <t>v. 增強；提升；改善</t>
  </si>
  <si>
    <t>1. Regular exercise enhances both physical and mental health. 2. The new lighting enhanced the beauty of the room.</t>
  </si>
  <si>
    <t>diminish</t>
  </si>
  <si>
    <t>v. 減少；降低；貶低</t>
  </si>
  <si>
    <t>1. The pain gradually diminished after taking the medicine. 2. Nothing can diminish her achievements.</t>
  </si>
  <si>
    <t>put off</t>
  </si>
  <si>
    <t>phr. 推遲；拖延；使掃興</t>
  </si>
  <si>
    <t>1. She put off the meeting until next week. 2. The bad smell put him off his food.</t>
  </si>
  <si>
    <t>ingredient</t>
  </si>
  <si>
    <t>n. 材料；成分；要素</t>
  </si>
  <si>
    <t>1. Mix all the ingredients in a large bowl. 2. Trust is a key ingredient in any good relationship.</t>
  </si>
  <si>
    <t>implication</t>
  </si>
  <si>
    <t>n. 暗示；含意；影響；牽連</t>
  </si>
  <si>
    <t>1. The implication of his words was that she had lied. 2. The new law has serious implications for small businesses.</t>
  </si>
  <si>
    <t>notary</t>
  </si>
  <si>
    <t>n. 公證人；公證員</t>
  </si>
  <si>
    <t>1. She visited a notary to have the documents certified. 2. The contract must be signed in front of a notary.</t>
  </si>
  <si>
    <t>briefcase</t>
  </si>
  <si>
    <t>n. 公事包；手提箱</t>
  </si>
  <si>
    <t>1. He carried his laptop and documents in a black briefcase. 2. She left her briefcase in the taxi by mistake.</t>
  </si>
  <si>
    <t>promote</t>
  </si>
  <si>
    <t>v. 晉升；促進；宣傳；提倡</t>
  </si>
  <si>
    <t>1. She was promoted to senior manager after three years. 2. The campaign promotes healthy eating habits. 3. They promoted the new product on social media.</t>
  </si>
  <si>
    <t>gadget</t>
  </si>
  <si>
    <t>n. 小器具；小裝置；新奇的小玩意</t>
  </si>
  <si>
    <t>1. He loves buying the latest tech gadgets. 2. The kitchen is full of useful gadgets.</t>
  </si>
  <si>
    <t>tailor</t>
  </si>
  <si>
    <t>n. 裁縫 v. 縫製；量身打造；調整</t>
  </si>
  <si>
    <t>1. He went to a tailor to have his suit made. 2. The course is tailored to meet each student's needs.</t>
  </si>
  <si>
    <t>specific</t>
  </si>
  <si>
    <t>adj. 具體的；特定的；明確的</t>
  </si>
  <si>
    <t>1. Can you give me a specific example? 2. The instructions were very specific about the deadline.</t>
  </si>
  <si>
    <t>plaza</t>
  </si>
  <si>
    <t>n. 廣場；購物中心</t>
  </si>
  <si>
    <t>1. They met at the plaza in front of city hall. 2. The new shopping plaza has over 100 stores.</t>
  </si>
  <si>
    <t>towel</t>
  </si>
  <si>
    <t>n. 毛巾；浴巾 v. 用毛巾擦乾</t>
  </si>
  <si>
    <t>1. She grabbed a towel after getting out of the shower. 2. He toweled himself dry after swimming.</t>
  </si>
  <si>
    <t>departure</t>
  </si>
  <si>
    <t>n. 出發；離開；背離</t>
  </si>
  <si>
    <t>1. The departure time is listed on the ticket. 2. His new painting style was a departure from his usual work.</t>
  </si>
  <si>
    <t>tracking</t>
  </si>
  <si>
    <t>n. 追蹤；追蹤系統</t>
  </si>
  <si>
    <t>1. You can check the tracking number to see where your package is. 2. The company uses tracking software to monitor deliveries.</t>
  </si>
  <si>
    <t>front</t>
  </si>
  <si>
    <t>n. 前面；前線；正面；氣象鋒 adj. 前面的 v. 面向；主導</t>
  </si>
  <si>
    <t>1. Please sit at the front of the classroom. 2. The soldiers fought on the front. 3. She fronted the campaign for clean energy.</t>
  </si>
  <si>
    <t>agenda</t>
  </si>
  <si>
    <t>n. 議程；行事曆；目標</t>
  </si>
  <si>
    <t>1. The agenda for today's meeting includes three items. 2. She had her own agenda when she joined the committee.</t>
  </si>
  <si>
    <t>clause</t>
  </si>
  <si>
    <t>n. 條款；從句；子句</t>
  </si>
  <si>
    <t>1. The contract includes a clause about early termination. 2. A relative clause gives more information about a noun.</t>
  </si>
  <si>
    <t>election</t>
  </si>
  <si>
    <t>n. 選舉；當選</t>
  </si>
  <si>
    <t>1. The general election is held every four years. 2. She celebrated her election to the city council.</t>
  </si>
  <si>
    <t>premier</t>
  </si>
  <si>
    <t>n. 首相；總理 adj. 首要的；最重要的</t>
  </si>
  <si>
    <t>1. The premier announced new economic policies. 2. This is the premier hotel in the city.</t>
  </si>
  <si>
    <t>pallet</t>
  </si>
  <si>
    <t>n. 棧板；托盤；調色盤</t>
  </si>
  <si>
    <t>1. The warehouse worker moved the pallet with a forklift. 2. Goods were stacked on pallets for easy transport.</t>
  </si>
  <si>
    <t>pad</t>
  </si>
  <si>
    <t>n. 便條本；護墊；公寓；發射台 v. 填充；加墊</t>
  </si>
  <si>
    <t>1. She jotted down the address on a notepad. 2. The goalkeeper wore knee pads for protection. 3. The rocket was launched from the pad.</t>
  </si>
  <si>
    <t>pill</t>
  </si>
  <si>
    <t>n. 藥丸；藥片；令人不快的事</t>
  </si>
  <si>
    <t>1. Take one pill twice a day after meals. 2. Losing the game was a bitter pill to swallow.</t>
  </si>
  <si>
    <t>feedback</t>
  </si>
  <si>
    <t>n. 回饋；意見；反饋</t>
  </si>
  <si>
    <t>1. The teacher gave constructive feedback on the essay. 2. We welcome customer feedback to improve our services.</t>
  </si>
  <si>
    <t>upgrade</t>
  </si>
  <si>
    <t>n./v. 升級；提升；改善</t>
  </si>
  <si>
    <t>1. The airline offered her a free upgrade to business class. 2. He upgraded his laptop to the latest model.</t>
  </si>
  <si>
    <t>highlight</t>
  </si>
  <si>
    <t>n. 亮點；精彩部分 v. 強調；突出</t>
  </si>
  <si>
    <t>1. The highlight of the trip was visiting the ancient temples. 2. She highlighted the key points in the document.</t>
  </si>
  <si>
    <t>condominium</t>
  </si>
  <si>
    <t>n. 公寓大廈；共有產權公寓</t>
  </si>
  <si>
    <t>1. She bought a condominium in the city center. 2. The condominium complex has a shared pool and gym.</t>
  </si>
  <si>
    <t>demographics</t>
  </si>
  <si>
    <t>n. 人口統計；人口特徵</t>
  </si>
  <si>
    <t>1. The company studied the demographics of its target customers. 2. The demographics of the city have changed significantly.</t>
  </si>
  <si>
    <t>basement</t>
  </si>
  <si>
    <t>n. 地下室；地下樓層</t>
  </si>
  <si>
    <t>1. They turned the basement into a home theater. 2. The flood damaged everything in the basement.</t>
  </si>
  <si>
    <t>cellar</t>
  </si>
  <si>
    <t>n. 地窖；酒窖</t>
  </si>
  <si>
    <t>1. The wine cellar is stocked with hundreds of bottles. 2. They stored vegetables in the cellar during winter.</t>
  </si>
  <si>
    <t>attic</t>
  </si>
  <si>
    <t>n. 閣樓；頂樓</t>
  </si>
  <si>
    <t>1. They found old family photos in the attic. 2. She converted the attic into a small bedroom.</t>
  </si>
  <si>
    <t>limousine</t>
  </si>
  <si>
    <t>n. 豪華轎車；禮車；機場巴士</t>
  </si>
  <si>
    <t>1. The celebrity arrived at the event in a limousine. 2. They booked a limousine for their wedding day.</t>
  </si>
  <si>
    <t>meat-eater</t>
  </si>
  <si>
    <t>n. 肉食者；食肉動物</t>
  </si>
  <si>
    <t>1. As a meat-eater, he found it hard to enjoy the vegetarian menu. 2. Lions are natural meat-eaters.</t>
  </si>
  <si>
    <t>imply</t>
  </si>
  <si>
    <t>v. 暗示；意味著；含有...的意思</t>
  </si>
  <si>
    <t>1. Her silence seemed to imply that she disagreed. 2. The new data implies that the situation is improving.</t>
  </si>
  <si>
    <t>fiscal</t>
  </si>
  <si>
    <t>adj. 財政的；會計的；稅務的</t>
  </si>
  <si>
    <t>1. The company reported strong results in the last fiscal year. 2. The government is trying to improve fiscal responsibility.</t>
  </si>
  <si>
    <t>treaty</t>
  </si>
  <si>
    <t>n. 條約；協議；協定</t>
  </si>
  <si>
    <t>1. The two countries signed a peace treaty after years of conflict. 2. The trade treaty reduced tariffs on imported goods.</t>
  </si>
  <si>
    <t>van</t>
  </si>
  <si>
    <t>n. 廂型車；貨車；前鋒</t>
  </si>
  <si>
    <t>1. They rented a van to move their furniture. 2. The delivery van arrived at the warehouse early in the morning.</t>
  </si>
  <si>
    <t>gateway</t>
  </si>
  <si>
    <t>n. 入口；通道；途徑</t>
  </si>
  <si>
    <t>1. The city is known as the gateway to the north. 2. Education is a gateway to better opportunities.</t>
  </si>
  <si>
    <t>presentation</t>
  </si>
  <si>
    <t>n. 簡報；呈現；贈送；發表</t>
  </si>
  <si>
    <t>1. She gave a presentation on the new marketing strategy. 2. The award presentation was held at the annual banquet.</t>
  </si>
  <si>
    <t>patient</t>
  </si>
  <si>
    <t>adj. 有耐心的 n. 病人；患者</t>
  </si>
  <si>
    <t>1. Please be patient while we process your request. 2. The doctor treated five patients this morning.</t>
  </si>
  <si>
    <t>shuttle</t>
  </si>
  <si>
    <t>n. 接駁車；太空梭；穿梭 v. 穿梭往返</t>
  </si>
  <si>
    <t>1. The hotel provides a free shuttle to the airport. 2. The space shuttle was launched successfully. 3. She shuttled between two offices every day.</t>
  </si>
  <si>
    <t>refer to</t>
  </si>
  <si>
    <t>phr. 參考；提及；稱...為；查閱</t>
  </si>
  <si>
    <t>1. Please refer to the manual for instructions. 2. He referred to his notes during the speech. 3. What do you refer to when you say 'the project'?</t>
  </si>
  <si>
    <t>helpline</t>
  </si>
  <si>
    <t>n. 服務專線；求助熱線</t>
  </si>
  <si>
    <t>1. Call our helpline if you need assistance. 2. She volunteered at a mental health helpline on weekends.</t>
  </si>
  <si>
    <t>guarantee</t>
  </si>
  <si>
    <t>n. 保證；擔保；保固 v. 保證；確保</t>
  </si>
  <si>
    <t>1. The product comes with a two-year guarantee. 2. I can guarantee that the work will be done on time. 3. Hard work does not always guarantee success.</t>
  </si>
  <si>
    <t>eviction</t>
  </si>
  <si>
    <t>n. 驅逐；逐出；強制遷出</t>
  </si>
  <si>
    <t>1. The landlord issued an eviction notice to the tenant. 2. The eviction was carried out after the tenant failed to pay rent.</t>
  </si>
  <si>
    <t>logical</t>
  </si>
  <si>
    <t>adj. 合乎邏輯的；合理的</t>
  </si>
  <si>
    <t>1. Her argument was clear and logical. 2. It is logical to save money before making a big purchase.</t>
  </si>
  <si>
    <t>traveler</t>
  </si>
  <si>
    <t>n. 旅行者；旅客</t>
  </si>
  <si>
    <t>1. The airport was crowded with travelers during the holiday season. 2. She is an experienced traveler who has visited over 40 countries.</t>
  </si>
  <si>
    <t>wholesale</t>
  </si>
  <si>
    <t>n. 批發 adj. 批發的 adv. 以批發方式；大規模地</t>
  </si>
  <si>
    <t>1. They buy goods at wholesale prices and sell them retail. 2. The wholesale market opens early in the morning. 3. The company laid off employees wholesale during the recession.</t>
  </si>
  <si>
    <t>innovation</t>
  </si>
  <si>
    <t>n. 創新；革新；新發明</t>
  </si>
  <si>
    <t>1. Technological innovation has changed the way we live. 2. The company encourages innovation among its employees.</t>
  </si>
  <si>
    <t>embarkation</t>
  </si>
  <si>
    <t>n. 登船；登機；出發</t>
  </si>
  <si>
    <t>1. Passengers should arrive at the embarkation point one hour early. 2. The embarkation of troops began at dawn.</t>
  </si>
  <si>
    <t>concession</t>
  </si>
  <si>
    <t>n. 讓步；特許權；優惠；小賣部</t>
  </si>
  <si>
    <t>1. Neither side was willing to make a concession during the negotiation. 2. The government granted a concession to build the highway. 3. She bought popcorn at the concession stand.</t>
  </si>
  <si>
    <t>selective</t>
  </si>
  <si>
    <t>adj. 有選擇性的；挑剔的</t>
  </si>
  <si>
    <t>1. She is very selective about the food she eats. 2. The university has a highly selective admissions process.</t>
  </si>
  <si>
    <t>motel</t>
  </si>
  <si>
    <t>n. 汽車旅館</t>
  </si>
  <si>
    <t>1. They stopped at a motel on the way to their destination. 2. The motel offered free parking for all guests.</t>
  </si>
  <si>
    <t>justification</t>
  </si>
  <si>
    <t>n. 正當理由；辯護；理據</t>
  </si>
  <si>
    <t>1. There is no justification for such rude behavior. 2. She provided a clear justification for her decision.</t>
  </si>
  <si>
    <t>mediator</t>
  </si>
  <si>
    <t>n. 調解人；仲裁者；中間人</t>
  </si>
  <si>
    <t>1. A mediator was brought in to help resolve the dispute. 2. She acted as a mediator between the two conflicting teams.</t>
  </si>
  <si>
    <t>decade</t>
  </si>
  <si>
    <t>n. 十年；十年間</t>
  </si>
  <si>
    <t>1. She has been working at the company for over a decade. 2. Technology has changed dramatically in the past decade.</t>
  </si>
  <si>
    <t>calculation</t>
  </si>
  <si>
    <t>n. 計算；估算；深思熟慮</t>
  </si>
  <si>
    <t>1. Double-check your calculations before submitting the report. 2. Her decision was based on careful calculation of risks.</t>
  </si>
  <si>
    <t>journey</t>
  </si>
  <si>
    <t>n. 旅程；旅行；過程 v. 旅行</t>
  </si>
  <si>
    <t>1. The journey from Taipei to Tokyo takes about three hours by plane. 2. Learning a language is a long journey. 3. They journeyed across the country by train.</t>
  </si>
  <si>
    <t>neat</t>
  </si>
  <si>
    <t>adj. 整齊的；乾淨的；俐落的；純的</t>
  </si>
  <si>
    <t>1. She always keeps her desk neat and organized. 2. He drinks his whiskey neat, without any ice.</t>
  </si>
  <si>
    <t>objective</t>
  </si>
  <si>
    <t>n. 目標；目的 adj. 客觀的；目標的</t>
  </si>
  <si>
    <t>1. The main objective of the project is to reduce costs. 2. Try to be objective when evaluating the situation.</t>
  </si>
  <si>
    <t>promotional</t>
  </si>
  <si>
    <t>adj. 促銷的；宣傳的；晉升的</t>
  </si>
  <si>
    <t>1. The store is offering promotional discounts this weekend. 2. She designed the promotional material for the new product.</t>
  </si>
  <si>
    <t>tourist</t>
  </si>
  <si>
    <t>n. 觀光客；遊客 adj. 觀光的</t>
  </si>
  <si>
    <t>1. The city attracts millions of tourists every year. 2. She stayed in a tourist area near the beach.</t>
  </si>
  <si>
    <t>quote</t>
  </si>
  <si>
    <t>n. 引文；報價；引號 v. 引用；報價</t>
  </si>
  <si>
    <t>1. She began her speech with a famous quote. 2. Can you give me a quote for the repair work? 3. He quoted a line from Shakespeare.</t>
  </si>
  <si>
    <t>various</t>
  </si>
  <si>
    <t>adj. 各種各樣的；多種的</t>
  </si>
  <si>
    <t>1. The menu offers various options for vegetarians. 2. She has worked in various industries over the years.</t>
  </si>
  <si>
    <t>consumer</t>
  </si>
  <si>
    <t>n. 消費者；顧客</t>
  </si>
  <si>
    <t>1. Consumers are demanding more eco-friendly products. 2. The company conducted a survey to understand consumer needs.</t>
  </si>
  <si>
    <t>helpdesk</t>
  </si>
  <si>
    <t>n. 服務台；技術支援中心</t>
  </si>
  <si>
    <t>1. Contact the helpdesk if you have any technical issues. 2. The helpdesk is available 24 hours a day.</t>
  </si>
  <si>
    <t>stopover</t>
  </si>
  <si>
    <t>n. 中途停留；轉機；短暫停留</t>
  </si>
  <si>
    <t>1. They had a short stopover in Dubai on their way to London. 2. She used the stopover to explore the city for a few hours.</t>
  </si>
  <si>
    <t>protocol</t>
  </si>
  <si>
    <t>n. 協議；外交禮節；議定書；通訊協定</t>
  </si>
  <si>
    <t>1. There is a strict protocol for greeting foreign dignitaries. 2. The computers communicate using an internet protocol. 3. The protocol was signed by all member countries.</t>
  </si>
  <si>
    <t>formal</t>
  </si>
  <si>
    <t>adj. 正式的；正規的；形式上的</t>
  </si>
  <si>
    <t>1. Please wear formal attire to the ceremony. 2. She received a formal letter from the company.</t>
  </si>
  <si>
    <t>remodel</t>
  </si>
  <si>
    <t>v. 重新改造；翻新；改建 n. 翻新；改建</t>
  </si>
  <si>
    <t>1. They remodeled their kitchen with new cabinets and countertops. 2. The store underwent a complete remodel last year.</t>
  </si>
  <si>
    <t>prompt</t>
  </si>
  <si>
    <t>adj. 迅速的；及時的 v. 促使；提示 n. 提示</t>
  </si>
  <si>
    <t>1. Please give a prompt reply to the email. 2. What prompted you to change careers? 3. The actor forgot his lines and needed a prompt.</t>
  </si>
  <si>
    <t>VAT</t>
  </si>
  <si>
    <t>n. 加值稅（Value Added Tax的縮寫）</t>
  </si>
  <si>
    <t>1. The price shown already includes VAT. 2. Businesses must register for VAT if their turnover exceeds the threshold.</t>
  </si>
  <si>
    <t>outer</t>
  </si>
  <si>
    <t>adj. 外部的；外面的；偏遠的</t>
  </si>
  <si>
    <t>1. The outer wall of the building was damaged by the storm. 2. She lives in the outer suburbs of the city.</t>
  </si>
  <si>
    <t>allocate</t>
  </si>
  <si>
    <t>v. 分配；撥給；指定</t>
  </si>
  <si>
    <t>1. The manager allocated tasks to each team member. 2. The government allocated funds for road repair.</t>
  </si>
  <si>
    <t>reconcile</t>
  </si>
  <si>
    <t>v. 使和解；調和；使相符；接受</t>
  </si>
  <si>
    <t>1. It took years for the two brothers to reconcile after their argument. 2. She reconciled the accounts at the end of the month. 3. He struggled to reconcile his work and family life.</t>
  </si>
  <si>
    <t>maternity</t>
  </si>
  <si>
    <t>n. 母性；產科 adj. 孕婦的；產假的</t>
  </si>
  <si>
    <t>1. She went on maternity leave after giving birth. 2. The hospital has a modern maternity ward. 3. She bought several maternity dresses during her pregnancy.</t>
  </si>
  <si>
    <t>break down</t>
  </si>
  <si>
    <t>phr. 故障；分解；情緒崩潰；分類說明</t>
  </si>
  <si>
    <t>1. The car broke down on the highway. 2. She broke down in tears when she heard the news. 3. Can you break down the costs for me?</t>
  </si>
  <si>
    <t>inspect</t>
  </si>
  <si>
    <t>v. 檢查；視察；審查</t>
  </si>
  <si>
    <t>1. The health inspector came to inspect the restaurant. 2. She inspected the room carefully before checking in.</t>
  </si>
  <si>
    <t>repairperson</t>
  </si>
  <si>
    <t>n. 維修人員；修理工</t>
  </si>
  <si>
    <t>1. She called a repairperson to fix the broken washing machine. 2. The repairperson arrived within an hour.</t>
  </si>
  <si>
    <t>look into</t>
  </si>
  <si>
    <t>phr. 調查；研究；探究</t>
  </si>
  <si>
    <t>1. The manager said she would look into the complaint. 2. Detectives are looking into the cause of the fire.</t>
  </si>
  <si>
    <t>payroll</t>
  </si>
  <si>
    <t>n. 薪資名冊；薪資總額；員工名單</t>
  </si>
  <si>
    <t>1. The company has 200 employees on its payroll. 2. The payroll department handles all salary payments.</t>
  </si>
  <si>
    <t>folding</t>
  </si>
  <si>
    <t>adj. 可摺疊的 n. 摺疊</t>
  </si>
  <si>
    <t>1. She bought a folding chair for outdoor events. 2. The folding table can be stored easily when not in use.</t>
  </si>
  <si>
    <t>escalator</t>
  </si>
  <si>
    <t>n. 手扶梯；自動扶梯</t>
  </si>
  <si>
    <t>1. Take the escalator to the second floor. 2. The escalator was out of service, so they used the stairs.</t>
  </si>
  <si>
    <t>mall</t>
  </si>
  <si>
    <t>n. 購物中心；商場；林蔭大道</t>
  </si>
  <si>
    <t>1. They spent the afternoon shopping at the mall. 2. The new mall has over 200 stores and a food court.</t>
  </si>
  <si>
    <t>footwear</t>
  </si>
  <si>
    <t>n. 鞋類；鞋子</t>
  </si>
  <si>
    <t>1. The store sells all kinds of footwear, from sneakers to boots. 2. Proper footwear is important for hiking.</t>
  </si>
  <si>
    <t>recruitment</t>
  </si>
  <si>
    <t>n. 招募；徵兵；招聘</t>
  </si>
  <si>
    <t>1. The company launched a recruitment campaign for new engineers. 2. She works in the recruitment department.</t>
  </si>
  <si>
    <t>landlord</t>
  </si>
  <si>
    <t>n. 房東；地主；酒店老闆</t>
  </si>
  <si>
    <t>1. She contacted her landlord about the broken heater. 2. The landlord raised the rent at the end of the lease.</t>
  </si>
  <si>
    <t>trolley</t>
  </si>
  <si>
    <t>n. 手推車；電車；餐車</t>
  </si>
  <si>
    <t>1. She pushed a trolley through the supermarket. 2. The flight attendant pushed the trolley down the aisle. 3. The old trolley still runs along the main street.</t>
  </si>
  <si>
    <t>keypad</t>
  </si>
  <si>
    <t>n. 數字鍵盤；按鍵板</t>
  </si>
  <si>
    <t>1. Enter your PIN using the keypad. 2. The door lock has a keypad for secure entry.</t>
  </si>
  <si>
    <t>profit</t>
  </si>
  <si>
    <t>n. 利潤；獲利；好處 v. 獲利；受益</t>
  </si>
  <si>
    <t>1. The company made a large profit last year. 2. She profited from the sale of her apartment. 3. Everyone can profit from reading books.</t>
  </si>
  <si>
    <t>run out of</t>
  </si>
  <si>
    <t>phr. 用完；耗盡</t>
  </si>
  <si>
    <t>1. We ran out of milk, so I need to go to the store. 2. The printer ran out of paper during an important meeting.</t>
  </si>
  <si>
    <t>stock up</t>
  </si>
  <si>
    <t>phr. 囤積；大量購入；備貨</t>
  </si>
  <si>
    <t>1. She stocked up on groceries before the storm. 2. The store stocks up on holiday items every November.</t>
  </si>
  <si>
    <t>use up</t>
  </si>
  <si>
    <t>phr. 用完；耗盡；消耗殆盡</t>
  </si>
  <si>
    <t>1. He used up all the paper in the printer. 2. She used up her vacation days before the end of the year.</t>
  </si>
  <si>
    <t>probation</t>
  </si>
  <si>
    <t>n. 試用期；緩刑；觀察期</t>
  </si>
  <si>
    <t>1. New employees are on probation for three months. 2. The judge sentenced him to two years of probation.</t>
  </si>
  <si>
    <t>souvenir</t>
  </si>
  <si>
    <t>n. 紀念品；伴手禮</t>
  </si>
  <si>
    <t>1. She bought a souvenir magnet at the museum gift shop. 2. He kept the ticket as a souvenir of the concert.</t>
  </si>
  <si>
    <t>interface</t>
  </si>
  <si>
    <t>n. 介面；接觸面；交匯點 v. 連接；互動</t>
  </si>
  <si>
    <t>1. The app has a very user-friendly interface. 2. The two systems interface through a shared database.</t>
  </si>
  <si>
    <t>recreate</t>
  </si>
  <si>
    <t>v. 重現；重新創造；再現</t>
  </si>
  <si>
    <t>1. The museum recreated a traditional village from 100 years ago. 2. She tried to recreate her grandmother's recipe.</t>
  </si>
  <si>
    <t>keep up with</t>
  </si>
  <si>
    <t>phr. 跟上；追上；與...保持同步</t>
  </si>
  <si>
    <t>1. It's hard to keep up with all the latest news. 2. She exercises regularly to keep up with her younger colleagues.</t>
  </si>
  <si>
    <t>surcharge</t>
  </si>
  <si>
    <t>n. 附加費；額外收費 v. 徵收附加費</t>
  </si>
  <si>
    <t>1. There is a surcharge for paying by credit card. 2. The airline surcharged passengers for extra luggage.</t>
  </si>
  <si>
    <t>subordinate</t>
  </si>
  <si>
    <t>n. 下屬；部屬 adj. 下級的；次要的 v. 使從屬於</t>
  </si>
  <si>
    <t>1. A good manager respects and listens to their subordinates. 2. Personal interests must be subordinate to the team's goals. 3. She subordinated her own needs to help others.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</si>
</sst>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新細明體"/>
    </font>
    <font>
      <sz val="12.0"/>
      <color theme="1"/>
      <name val="Arial"/>
      <scheme val="minor"/>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readingOrder="0" shrinkToFit="0" wrapText="0"/>
    </xf>
    <xf borderId="0" fillId="0" fontId="2" numFmtId="0" xfId="0" applyAlignment="1" applyFont="1">
      <alignment vertical="center"/>
    </xf>
    <xf borderId="0" fillId="0" fontId="1"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xf>
    <xf borderId="0" fillId="0" fontId="3" numFmtId="0" xfId="0" applyAlignment="1" applyFont="1">
      <alignment readingOrder="0" shrinkToFit="0" vertical="bottom" wrapText="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row>
    <row r="2">
      <c r="A2" s="1" t="s">
        <v>5</v>
      </c>
      <c r="B2" s="2" t="s">
        <v>6</v>
      </c>
      <c r="C2" s="1" t="s">
        <v>7</v>
      </c>
      <c r="D2" s="1" t="s">
        <v>8</v>
      </c>
      <c r="E2" s="3" t="str">
        <f>IFERROR(__xludf.DUMMYFUNCTION("GOOGLETRANSLATE(D2, ""en"", ""zh-tw"")"),"她有能力迅速解決複雜問題。")</f>
        <v>她有能力迅速解決複雜問題。</v>
      </c>
    </row>
    <row r="3">
      <c r="A3" s="1" t="s">
        <v>9</v>
      </c>
      <c r="B3" s="2" t="s">
        <v>10</v>
      </c>
      <c r="C3" s="1" t="s">
        <v>7</v>
      </c>
      <c r="D3" s="1" t="s">
        <v>11</v>
      </c>
      <c r="E3" s="3" t="str">
        <f>IFERROR(__xludf.DUMMYFUNCTION("GOOGLETRANSLATE(D3, ""en"", ""zh-tw"")"),"1. 他們簽署了兩國之間的貿易協定。 2. 我們就專案截止日期達成了一致。 3. 她的說法與證人的證詞相符。")</f>
        <v>1. 他們簽署了兩國之間的貿易協定。 2. 我們就專案截止日期達成了一致。 3. 她的說法與證人的證詞相符。</v>
      </c>
    </row>
    <row r="4">
      <c r="A4" s="1" t="s">
        <v>12</v>
      </c>
      <c r="B4" s="2" t="s">
        <v>13</v>
      </c>
      <c r="C4" s="1" t="s">
        <v>7</v>
      </c>
      <c r="D4" s="1" t="s">
        <v>14</v>
      </c>
      <c r="E4" s="3" t="str">
        <f>IFERROR(__xludf.DUMMYFUNCTION("GOOGLETRANSLATE(D4, ""en"", ""zh-tw"")"),"她從彈鋼琴中獲得了許多樂趣。")</f>
        <v>她從彈鋼琴中獲得了許多樂趣。</v>
      </c>
    </row>
    <row r="5">
      <c r="A5" s="1" t="s">
        <v>15</v>
      </c>
      <c r="B5" s="2" t="s">
        <v>16</v>
      </c>
      <c r="C5" s="1" t="s">
        <v>17</v>
      </c>
      <c r="D5" s="1" t="s">
        <v>18</v>
      </c>
      <c r="E5" s="3" t="str">
        <f>IFERROR(__xludf.DUMMYFUNCTION("GOOGLETRANSLATE(D5, ""en"", ""zh-tw"")"),"她戴上手套後才開始打掃房子。")</f>
        <v>她戴上手套後才開始打掃房子。</v>
      </c>
    </row>
    <row r="6">
      <c r="A6" s="1" t="s">
        <v>19</v>
      </c>
      <c r="B6" s="2" t="s">
        <v>20</v>
      </c>
      <c r="C6" s="1" t="s">
        <v>7</v>
      </c>
      <c r="D6" s="1" t="s">
        <v>21</v>
      </c>
      <c r="E6" s="3" t="str">
        <f>IFERROR(__xludf.DUMMYFUNCTION("GOOGLETRANSLATE(D6, ""en"", ""zh-tw"")"),"在希臘神話中，雅典娜是智慧女神。")</f>
        <v>在希臘神話中，雅典娜是智慧女神。</v>
      </c>
    </row>
    <row r="7">
      <c r="A7" s="1" t="s">
        <v>22</v>
      </c>
      <c r="B7" s="2" t="s">
        <v>23</v>
      </c>
      <c r="C7" s="1" t="s">
        <v>7</v>
      </c>
      <c r="D7" s="1" t="s">
        <v>24</v>
      </c>
      <c r="E7" s="3" t="str">
        <f>IFERROR(__xludf.DUMMYFUNCTION("GOOGLETRANSLATE(D7, ""en"", ""zh-tw"")"),"媒體在塑造公眾輿論方面發揮著重要作用。")</f>
        <v>媒體在塑造公眾輿論方面發揮著重要作用。</v>
      </c>
    </row>
    <row r="8">
      <c r="A8" s="1" t="s">
        <v>25</v>
      </c>
      <c r="B8" s="2" t="s">
        <v>26</v>
      </c>
      <c r="C8" s="1" t="s">
        <v>17</v>
      </c>
      <c r="D8" s="1" t="s">
        <v>27</v>
      </c>
      <c r="E8" s="3" t="str">
        <f>IFERROR(__xludf.DUMMYFUNCTION("GOOGLETRANSLATE(D8, ""en"", ""zh-tw"")"),"1. 工人們深入地下礦坑工作。 2. 他們在這個地區開採煤炭。")</f>
        <v>1. 工人們深入地下礦坑工作。 2. 他們在這個地區開採煤炭。</v>
      </c>
    </row>
    <row r="9">
      <c r="A9" s="1" t="s">
        <v>28</v>
      </c>
      <c r="B9" s="2" t="s">
        <v>29</v>
      </c>
      <c r="C9" s="1" t="s">
        <v>17</v>
      </c>
      <c r="D9" s="1" t="s">
        <v>30</v>
      </c>
      <c r="E9" s="3" t="str">
        <f>IFERROR(__xludf.DUMMYFUNCTION("GOOGLETRANSLATE(D9, ""en"", ""zh-tw"")"),"1. 現在很多人都在網路上購物。 2. 她在線，可以聊天。")</f>
        <v>1. 現在很多人都在網路上購物。 2. 她在線，可以聊天。</v>
      </c>
    </row>
    <row r="10">
      <c r="A10" s="1" t="s">
        <v>31</v>
      </c>
      <c r="B10" s="2" t="s">
        <v>32</v>
      </c>
      <c r="C10" s="1" t="s">
        <v>7</v>
      </c>
      <c r="D10" s="1" t="s">
        <v>33</v>
      </c>
      <c r="E10" s="3" t="str">
        <f>IFERROR(__xludf.DUMMYFUNCTION("GOOGLETRANSLATE(D10, ""en"", ""zh-tw"")"),"付款方式為信用卡支付。")</f>
        <v>付款方式為信用卡支付。</v>
      </c>
    </row>
    <row r="11">
      <c r="A11" s="1" t="s">
        <v>34</v>
      </c>
      <c r="B11" s="2" t="s">
        <v>35</v>
      </c>
      <c r="C11" s="1" t="s">
        <v>17</v>
      </c>
      <c r="D11" s="1" t="s">
        <v>36</v>
      </c>
      <c r="E11" s="3" t="str">
        <f>IFERROR(__xludf.DUMMYFUNCTION("GOOGLETRANSLATE(D11, ""en"", ""zh-tw"")"),"他拍了一張日落的照片。")</f>
        <v>他拍了一張日落的照片。</v>
      </c>
    </row>
    <row r="12">
      <c r="A12" s="1" t="s">
        <v>37</v>
      </c>
      <c r="B12" s="2" t="s">
        <v>38</v>
      </c>
      <c r="C12" s="1" t="s">
        <v>17</v>
      </c>
      <c r="D12" s="1" t="s">
        <v>39</v>
      </c>
      <c r="E12" s="3" t="str">
        <f>IFERROR(__xludf.DUMMYFUNCTION("GOOGLETRANSLATE(D12, ""en"", ""zh-tw"")"),"你能幫我拍張照片嗎？")</f>
        <v>你能幫我拍張照片嗎？</v>
      </c>
    </row>
    <row r="13">
      <c r="A13" s="1" t="s">
        <v>40</v>
      </c>
      <c r="B13" s="2" t="s">
        <v>41</v>
      </c>
      <c r="C13" s="1" t="s">
        <v>17</v>
      </c>
      <c r="D13" s="1" t="s">
        <v>42</v>
      </c>
      <c r="E13" s="3" t="str">
        <f>IFERROR(__xludf.DUMMYFUNCTION("GOOGLETRANSLATE(D13, ""en"", ""zh-tw"")"),"1. 跑步後，我的腿感覺​​很酸痛。 2. 他手臂上有一個傷口，一直不見好轉。")</f>
        <v>1. 跑步後，我的腿感覺​​很酸痛。 2. 他手臂上有一個傷口，一直不見好轉。</v>
      </c>
    </row>
    <row r="14">
      <c r="A14" s="1" t="s">
        <v>43</v>
      </c>
      <c r="B14" s="2" t="s">
        <v>44</v>
      </c>
      <c r="C14" s="1" t="s">
        <v>17</v>
      </c>
      <c r="D14" s="1" t="s">
        <v>45</v>
      </c>
      <c r="E14" s="3" t="str">
        <f>IFERROR(__xludf.DUMMYFUNCTION("GOOGLETRANSLATE(D14, ""en"", ""zh-tw"")"),"她迅速地跑上樓梯。")</f>
        <v>她迅速地跑上樓梯。</v>
      </c>
    </row>
    <row r="15">
      <c r="A15" s="1" t="s">
        <v>46</v>
      </c>
      <c r="B15" s="2" t="s">
        <v>47</v>
      </c>
      <c r="C15" s="1" t="s">
        <v>17</v>
      </c>
      <c r="D15" s="1" t="s">
        <v>48</v>
      </c>
      <c r="E15" s="3" t="str">
        <f>IFERROR(__xludf.DUMMYFUNCTION("GOOGLETRANSLATE(D15, ""en"", ""zh-tw"")"),"我搭計程車去了機場。")</f>
        <v>我搭計程車去了機場。</v>
      </c>
    </row>
    <row r="16">
      <c r="A16" s="1" t="s">
        <v>49</v>
      </c>
      <c r="B16" s="2" t="s">
        <v>50</v>
      </c>
      <c r="C16" s="1" t="s">
        <v>7</v>
      </c>
      <c r="D16" s="1" t="s">
        <v>51</v>
      </c>
      <c r="E16" s="3" t="str">
        <f>IFERROR(__xludf.DUMMYFUNCTION("GOOGLETRANSLATE(D16, ""en"", ""zh-tw"")"),"1. 廢棄物處理對環境至關重要。 2. 她在飯店受到了特別照顧。 3. 病人接受了感染治療。")</f>
        <v>1. 廢棄物處理對環境至關重要。 2. 她在飯店受到了特別照顧。 3. 病人接受了感染治療。</v>
      </c>
    </row>
    <row r="17">
      <c r="A17" s="1" t="s">
        <v>52</v>
      </c>
      <c r="B17" s="2" t="s">
        <v>53</v>
      </c>
      <c r="C17" s="1" t="s">
        <v>7</v>
      </c>
      <c r="D17" s="1" t="s">
        <v>54</v>
      </c>
      <c r="E17" s="3" t="str">
        <f>IFERROR(__xludf.DUMMYFUNCTION("GOOGLETRANSLATE(D17, ""en"", ""zh-tw"")"),"1. 她缺席會議引起了所有人的注意。 2. 由於缺乏證據，案件難以偵破。")</f>
        <v>1. 她缺席會議引起了所有人的注意。 2. 由於缺乏證據，案件難以偵破。</v>
      </c>
    </row>
    <row r="18">
      <c r="A18" s="1" t="s">
        <v>55</v>
      </c>
      <c r="B18" s="2" t="s">
        <v>56</v>
      </c>
      <c r="C18" s="1" t="s">
        <v>7</v>
      </c>
      <c r="D18" s="1" t="s">
        <v>57</v>
      </c>
      <c r="E18" s="3" t="str">
        <f>IFERROR(__xludf.DUMMYFUNCTION("GOOGLETRANSLATE(D18, ""en"", ""zh-tw"")"),"1. 我上週開了一個銀行帳戶。 2. 他詳細地講述了事情經過。")</f>
        <v>1. 我上週開了一個銀行帳戶。 2. 他詳細地講述了事情經過。</v>
      </c>
    </row>
    <row r="19">
      <c r="A19" s="1" t="s">
        <v>58</v>
      </c>
      <c r="B19" s="2" t="s">
        <v>59</v>
      </c>
      <c r="C19" s="1" t="s">
        <v>7</v>
      </c>
      <c r="D19" s="1" t="s">
        <v>60</v>
      </c>
      <c r="E19" s="3" t="str">
        <f>IFERROR(__xludf.DUMMYFUNCTION("GOOGLETRANSLATE(D19, ""en"", ""zh-tw"")"),"這部電影是根據真實事件改編的。")</f>
        <v>這部電影是根據真實事件改編的。</v>
      </c>
    </row>
    <row r="20">
      <c r="A20" s="1" t="s">
        <v>61</v>
      </c>
      <c r="B20" s="2" t="s">
        <v>62</v>
      </c>
      <c r="C20" s="1" t="s">
        <v>17</v>
      </c>
      <c r="D20" s="1" t="s">
        <v>63</v>
      </c>
      <c r="E20" s="3" t="str">
        <f>IFERROR(__xludf.DUMMYFUNCTION("GOOGLETRANSLATE(D20, ""en"", ""zh-tw"")"),"1. 這位新進員工是我們團隊的得力幹將。 2. 他們擴建了房子，以獲得更多空間。 3. 她在數學課學習加減法。")</f>
        <v>1. 這位新進員工是我們團隊的得力幹將。 2. 他們擴建了房子，以獲得更多空間。 3. 她在數學課學習加減法。</v>
      </c>
    </row>
    <row r="21">
      <c r="A21" s="1" t="s">
        <v>64</v>
      </c>
      <c r="B21" s="2" t="s">
        <v>65</v>
      </c>
      <c r="C21" s="1" t="s">
        <v>7</v>
      </c>
      <c r="D21" s="1" t="s">
        <v>66</v>
      </c>
      <c r="E21" s="3" t="str">
        <f>IFERROR(__xludf.DUMMYFUNCTION("GOOGLETRANSLATE(D21, ""en"", ""zh-tw"")"),"1. 他承認自己犯了錯。 2. 只有員工才能進入此處。 3. 他們昨晚把他送進醫院了。")</f>
        <v>1. 他承認自己犯了錯。 2. 只有員工才能進入此處。 3. 他們昨晚把他送進醫院了。</v>
      </c>
    </row>
    <row r="22">
      <c r="A22" s="1" t="s">
        <v>67</v>
      </c>
      <c r="B22" s="2" t="s">
        <v>68</v>
      </c>
      <c r="C22" s="1" t="s">
        <v>7</v>
      </c>
      <c r="D22" s="1" t="s">
        <v>69</v>
      </c>
      <c r="E22" s="3" t="str">
        <f>IFERROR(__xludf.DUMMYFUNCTION("GOOGLETRANSLATE(D22, ""en"", ""zh-tw"")"),"1. 士兵們向敵軍基地推進。 2. 醫療技術取得了重大進展。 3. 我們需要提前預訂飯店。 4. 他收到了一筆預支薪水。")</f>
        <v>1. 士兵們向敵軍基地推進。 2. 醫療技術取得了重大進展。 3. 我們需要提前預訂飯店。 4. 他收到了一筆預支薪水。</v>
      </c>
    </row>
    <row r="23">
      <c r="A23" s="1" t="s">
        <v>70</v>
      </c>
      <c r="B23" s="2" t="s">
        <v>71</v>
      </c>
      <c r="C23" s="1" t="s">
        <v>7</v>
      </c>
      <c r="D23" s="1" t="s">
        <v>72</v>
      </c>
      <c r="E23" s="3" t="str">
        <f>IFERROR(__xludf.DUMMYFUNCTION("GOOGLETRANSLATE(D23, ""en"", ""zh-tw"")"),"1. 他總是盡量把自己的私事保密。 2. 總統承諾不干涉他國內政。 3. 他和同事有染。 4. 婚禮非常盛大。")</f>
        <v>1. 他總是盡量把自己的私事保密。 2. 總統承諾不干涉他國內政。 3. 他和同事有染。 4. 婚禮非常盛大。</v>
      </c>
    </row>
    <row r="24">
      <c r="A24" s="1" t="s">
        <v>73</v>
      </c>
      <c r="B24" s="2" t="s">
        <v>74</v>
      </c>
      <c r="C24" s="1" t="s">
        <v>7</v>
      </c>
      <c r="D24" s="1" t="s">
        <v>75</v>
      </c>
      <c r="E24" s="3" t="str">
        <f>IFERROR(__xludf.DUMMYFUNCTION("GOOGLETRANSLATE(D24, ""en"", ""zh-tw"")"),"1. 該國向災民提供了食物援助。 2. 助聽器可以幫助聽力受損的人。 3. 該組織透過提供住所和醫療服務來援助難民。")</f>
        <v>1. 該國向災民提供了食物援助。 2. 助聽器可以幫助聽力受損的人。 3. 該組織透過提供住所和醫療服務來援助難民。</v>
      </c>
    </row>
    <row r="25">
      <c r="A25" s="1" t="s">
        <v>76</v>
      </c>
      <c r="B25" s="2" t="s">
        <v>77</v>
      </c>
      <c r="C25" s="1" t="s">
        <v>7</v>
      </c>
      <c r="D25" s="1" t="s">
        <v>78</v>
      </c>
      <c r="E25" s="3" t="str">
        <f>IFERROR(__xludf.DUMMYFUNCTION("GOOGLETRANSLATE(D25, ""en"", ""zh-tw"")"),"儘管天氣惡劣，飛機還是順利起飛了。")</f>
        <v>儘管天氣惡劣，飛機還是順利起飛了。</v>
      </c>
    </row>
    <row r="26">
      <c r="A26" s="1" t="s">
        <v>79</v>
      </c>
      <c r="B26" s="2" t="s">
        <v>80</v>
      </c>
      <c r="C26" s="1" t="s">
        <v>17</v>
      </c>
      <c r="D26" s="1" t="s">
        <v>81</v>
      </c>
      <c r="E26" s="3" t="str">
        <f>IFERROR(__xludf.DUMMYFUNCTION("GOOGLETRANSLATE(D26, ""en"", ""zh-tw"")"),"如果您需要幫助，可以隨時打電話給我。")</f>
        <v>如果您需要幫助，可以隨時打電話給我。</v>
      </c>
    </row>
    <row r="27">
      <c r="A27" s="1" t="s">
        <v>82</v>
      </c>
      <c r="B27" s="2" t="s">
        <v>83</v>
      </c>
      <c r="C27" s="1" t="s">
        <v>17</v>
      </c>
      <c r="D27" s="1" t="s">
        <v>84</v>
      </c>
      <c r="E27" s="3" t="str">
        <f>IFERROR(__xludf.DUMMYFUNCTION("GOOGLETRANSLATE(D27, ""en"", ""zh-tw"")"),"1. 總之，我們還是先把工作做完。 2. 雖然下雨，但我還是要出去。")</f>
        <v>1. 總之，我們還是先把工作做完。 2. 雖然下雨，但我還是要出去。</v>
      </c>
    </row>
    <row r="28">
      <c r="A28" s="1" t="s">
        <v>85</v>
      </c>
      <c r="B28" s="2" t="s">
        <v>86</v>
      </c>
      <c r="C28" s="1" t="s">
        <v>17</v>
      </c>
      <c r="D28" s="1" t="s">
        <v>87</v>
      </c>
      <c r="E28" s="3" t="str">
        <f>IFERROR(__xludf.DUMMYFUNCTION("GOOGLETRANSLATE(D28, ""en"", ""zh-tw"")"),"1. 我可以去任何你想去的地方。")</f>
        <v>1. 我可以去任何你想去的地方。</v>
      </c>
    </row>
    <row r="29">
      <c r="A29" s="1" t="s">
        <v>88</v>
      </c>
      <c r="B29" s="2" t="s">
        <v>89</v>
      </c>
      <c r="C29" s="1" t="s">
        <v>17</v>
      </c>
      <c r="D29" s="1" t="s">
        <v>90</v>
      </c>
      <c r="E29" s="3" t="str">
        <f>IFERROR(__xludf.DUMMYFUNCTION("GOOGLETRANSLATE(D29, ""en"", ""zh-tw"")"),"1. 這隻猿猴迅速爬上了樹。 2. 他試圖模仿老闆的行為。")</f>
        <v>1. 這隻猿猴迅速爬上了樹。 2. 他試圖模仿老闆的行為。</v>
      </c>
    </row>
    <row r="30">
      <c r="A30" s="1" t="s">
        <v>91</v>
      </c>
      <c r="B30" s="2" t="s">
        <v>92</v>
      </c>
      <c r="C30" s="1" t="s">
        <v>7</v>
      </c>
      <c r="D30" s="1" t="s">
        <v>93</v>
      </c>
      <c r="E30" s="3" t="str">
        <f>IFERROR(__xludf.DUMMYFUNCTION("GOOGLETRANSLATE(D30, ""en"", ""zh-tw"")"),"1. 她剪了頭髮後，外表變化很大。 2. 貓的突然出現嚇了我一跳。")</f>
        <v>1. 她剪了頭髮後，外表變化很大。 2. 貓的突然出現嚇了我一跳。</v>
      </c>
    </row>
    <row r="31">
      <c r="A31" s="1" t="s">
        <v>94</v>
      </c>
      <c r="B31" s="2" t="s">
        <v>95</v>
      </c>
      <c r="C31" s="1" t="s">
        <v>17</v>
      </c>
      <c r="D31" s="1" t="s">
        <v>96</v>
      </c>
      <c r="E31" s="3" t="str">
        <f>IFERROR(__xludf.DUMMYFUNCTION("GOOGLETRANSLATE(D31, ""en"", ""zh-tw"")"),"1. 他食量很大，能吃很多。 2. 壓力有時會降低食慾。")</f>
        <v>1. 他食量很大，能吃很多。 2. 壓力有時會降低食慾。</v>
      </c>
    </row>
    <row r="32">
      <c r="A32" s="1" t="s">
        <v>97</v>
      </c>
      <c r="B32" s="2" t="s">
        <v>98</v>
      </c>
      <c r="C32" s="1" t="s">
        <v>7</v>
      </c>
      <c r="D32" s="1" t="s">
        <v>99</v>
      </c>
      <c r="E32" s="3" t="str">
        <f>IFERROR(__xludf.DUMMYFUNCTION("GOOGLETRANSLATE(D32, ""en"", ""zh-tw"")"),"1. 她申請了這家公司的工作。 2. 你可以用這種方法解決其他問題。 3. 每天兩次將乳霜塗抹在皮膚上。")</f>
        <v>1. 她申請了這家公司的工作。 2. 你可以用這種方法解決其他問題。 3. 每天兩次將乳霜塗抹在皮膚上。</v>
      </c>
    </row>
    <row r="33">
      <c r="A33" s="1" t="s">
        <v>100</v>
      </c>
      <c r="B33" s="2" t="s">
        <v>101</v>
      </c>
      <c r="C33" s="1" t="s">
        <v>7</v>
      </c>
      <c r="D33" s="1" t="s">
        <v>102</v>
      </c>
      <c r="E33" s="3" t="str">
        <f>IFERROR(__xludf.DUMMYFUNCTION("GOOGLETRANSLATE(D33, ""en"", ""zh-tw"")"),"1. 我們需要一種新的方法來解決這個問題。 2. 當我們接近車站時，開始下雨了。")</f>
        <v>1. 我們需要一種新的方法來解決這個問題。 2. 當我們接近車站時，開始下雨了。</v>
      </c>
    </row>
    <row r="34">
      <c r="A34" s="1" t="s">
        <v>103</v>
      </c>
      <c r="B34" s="2" t="s">
        <v>104</v>
      </c>
      <c r="C34" s="1" t="s">
        <v>7</v>
      </c>
      <c r="D34" s="1" t="s">
        <v>105</v>
      </c>
      <c r="E34" s="3" t="str">
        <f>IFERROR(__xludf.DUMMYFUNCTION("GOOGLETRANSLATE(D34, ""en"", ""zh-tw"")"),"1. 他們昨晚因為錢的事吵了一架。 2. 她的主要論點是法律不公平。")</f>
        <v>1. 他們昨晚因為錢的事吵了一架。 2. 她的主要論點是法律不公平。</v>
      </c>
    </row>
    <row r="35">
      <c r="A35" s="1" t="s">
        <v>106</v>
      </c>
      <c r="B35" s="2" t="s">
        <v>107</v>
      </c>
      <c r="C35" s="1" t="s">
        <v>7</v>
      </c>
      <c r="D35" s="1" t="s">
        <v>108</v>
      </c>
      <c r="E35" s="3" t="str">
        <f>IFERROR(__xludf.DUMMYFUNCTION("GOOGLETRANSLATE(D35, ""en"", ""zh-tw"")"),"1. 她安排了這次旅行的所有行程。 2. 桌上的花束很漂亮。 3. 我們約好晚上7點見面。")</f>
        <v>1. 她安排了這次旅行的所有行程。 2. 桌上的花束很漂亮。 3. 我們約好晚上7點見面。</v>
      </c>
    </row>
    <row r="36">
      <c r="A36" s="1" t="s">
        <v>109</v>
      </c>
      <c r="B36" s="2" t="s">
        <v>110</v>
      </c>
      <c r="C36" s="1" t="s">
        <v>7</v>
      </c>
      <c r="D36" s="1" t="s">
        <v>111</v>
      </c>
      <c r="E36" s="3" t="str">
        <f>IFERROR(__xludf.DUMMYFUNCTION("GOOGLETRANSLATE(D36, ""en"", ""zh-tw"")"),"1. 由於交通堵塞，我們到達飯店的時間被耽擱了。 2. 春天的到來帶來了溫暖的天氣。")</f>
        <v>1. 由於交通堵塞，我們到達飯店的時間被耽擱了。 2. 春天的到來帶來了溫暖的天氣。</v>
      </c>
    </row>
    <row r="37">
      <c r="A37" s="1" t="s">
        <v>112</v>
      </c>
      <c r="B37" s="2" t="s">
        <v>113</v>
      </c>
      <c r="C37" s="1" t="s">
        <v>17</v>
      </c>
      <c r="D37" s="1" t="s">
        <v>114</v>
      </c>
      <c r="E37" s="3" t="str">
        <f>IFERROR(__xludf.DUMMYFUNCTION("GOOGLETRANSLATE(D37, ""en"", ""zh-tw"")"),"跟著箭頭走就能找到出口。")</f>
        <v>跟著箭頭走就能找到出口。</v>
      </c>
    </row>
    <row r="38">
      <c r="A38" s="1" t="s">
        <v>115</v>
      </c>
      <c r="B38" s="2" t="s">
        <v>116</v>
      </c>
      <c r="C38" s="1" t="s">
        <v>7</v>
      </c>
      <c r="D38" s="1" t="s">
        <v>117</v>
      </c>
      <c r="E38" s="3" t="str">
        <f>IFERROR(__xludf.DUMMYFUNCTION("GOOGLETRANSLATE(D38, ""en"", ""zh-tw"")"),"1. 我讀了一篇關於太空旅行的有趣文章。 2. 「The」是定冠詞。")</f>
        <v>1. 我讀了一篇關於太空旅行的有趣文章。 2. 「The」是定冠詞。</v>
      </c>
    </row>
    <row r="39">
      <c r="A39" s="1" t="s">
        <v>118</v>
      </c>
      <c r="B39" s="2" t="s">
        <v>119</v>
      </c>
      <c r="C39" s="1" t="s">
        <v>7</v>
      </c>
      <c r="D39" s="1" t="s">
        <v>120</v>
      </c>
      <c r="E39" s="3" t="str">
        <f>IFERROR(__xludf.DUMMYFUNCTION("GOOGLETRANSLATE(D39, ""en"", ""zh-tw"")"),"1. 他打破紀錄的嘗試失敗了。 2. 她試圖獨自搬動那個沉重的箱子。")</f>
        <v>1. 他打破紀錄的嘗試失敗了。 2. 她試圖獨自搬動那個沉重的箱子。</v>
      </c>
    </row>
    <row r="40">
      <c r="A40" s="1" t="s">
        <v>121</v>
      </c>
      <c r="B40" s="2" t="s">
        <v>122</v>
      </c>
      <c r="C40" s="1" t="s">
        <v>7</v>
      </c>
      <c r="D40" s="1" t="s">
        <v>123</v>
      </c>
      <c r="E40" s="3" t="str">
        <f>IFERROR(__xludf.DUMMYFUNCTION("GOOGLETRANSLATE(D40, ""en"", ""zh-tw"")"),"1. 她明天上午會參加會議。 2. 護士整夜都在照顧病人。")</f>
        <v>1. 她明天上午會參加會議。 2. 護士整夜都在照顧病人。</v>
      </c>
    </row>
    <row r="41">
      <c r="A41" s="1" t="s">
        <v>124</v>
      </c>
      <c r="B41" s="2" t="s">
        <v>125</v>
      </c>
      <c r="C41" s="1" t="s">
        <v>7</v>
      </c>
      <c r="D41" s="1" t="s">
        <v>126</v>
      </c>
      <c r="E41" s="3" t="str">
        <f>IFERROR(__xludf.DUMMYFUNCTION("GOOGLETRANSLATE(D41, ""en"", ""zh-tw"")"),"1. J·K·羅琳是《哈利波特》系列的作者。 2. 他是新公司政策的製定者。 3. 她創作了多部暢銷小說。")</f>
        <v>1. J·K·羅琳是《哈利波特》系列的作者。 2. 他是新公司政策的製定者。 3. 她創作了多部暢銷小說。</v>
      </c>
    </row>
    <row r="42">
      <c r="A42" s="1" t="s">
        <v>127</v>
      </c>
      <c r="B42" s="2" t="s">
        <v>128</v>
      </c>
      <c r="C42" s="1" t="s">
        <v>7</v>
      </c>
      <c r="D42" s="1" t="s">
        <v>129</v>
      </c>
      <c r="E42" s="3" t="str">
        <f>IFERROR(__xludf.DUMMYFUNCTION("GOOGLETRANSLATE(D42, ""en"", ""zh-tw"")"),"1. 他只是個普通學生，既不特別好也不特別差。 2. 80、90 和 100 的平均數是 90。3. 她平均每晚睡 8 小時。")</f>
        <v>1. 他只是個普通學生，既不特別好也不特別差。 2. 80、90 和 100 的平均數是 90。3. 她平均每晚睡 8 小時。</v>
      </c>
    </row>
    <row r="43">
      <c r="A43" s="1" t="s">
        <v>130</v>
      </c>
      <c r="B43" s="2" t="s">
        <v>131</v>
      </c>
      <c r="C43" s="1" t="s">
        <v>17</v>
      </c>
      <c r="D43" s="1" t="s">
        <v>132</v>
      </c>
      <c r="E43" s="3" t="str">
        <f>IFERROR(__xludf.DUMMYFUNCTION("GOOGLETRANSLATE(D43, ""en"", ""zh-tw"")"),"1. 他退後一步躲避掉落的物體。 2. 該公司上季銷售額出現下滑。 3. 該地區在技術方面仍落後。")</f>
        <v>1. 他退後一步躲避掉落的物體。 2. 該公司上季銷售額出現下滑。 3. 該地區在技術方面仍落後。</v>
      </c>
    </row>
    <row r="44">
      <c r="A44" s="1" t="s">
        <v>133</v>
      </c>
      <c r="B44" s="2" t="s">
        <v>134</v>
      </c>
      <c r="C44" s="1" t="s">
        <v>7</v>
      </c>
      <c r="D44" s="1" t="s">
        <v>135</v>
      </c>
      <c r="E44" s="3" t="str">
        <f>IFERROR(__xludf.DUMMYFUNCTION("GOOGLETRANSLATE(D44, ""en"", ""zh-tw"")"),"1. 她失去平衡跌倒了。 2. 我在網路上查詢了我的銀行帳戶餘額。 3. 他核對了帳目以避免出錯。")</f>
        <v>1. 她失去平衡跌倒了。 2. 我在網路上查詢了我的銀行帳戶餘額。 3. 他核對了帳目以避免出錯。</v>
      </c>
    </row>
    <row r="45">
      <c r="A45" s="1" t="s">
        <v>136</v>
      </c>
      <c r="B45" s="2" t="s">
        <v>137</v>
      </c>
      <c r="C45" s="1" t="s">
        <v>17</v>
      </c>
      <c r="D45" s="1" t="s">
        <v>138</v>
      </c>
      <c r="E45" s="3" t="str">
        <f>IFERROR(__xludf.DUMMYFUNCTION("GOOGLETRANSLATE(D45, ""en"", ""zh-tw"")"),"1. 他吃了一塊巧克力。 2. 我們下班後在酒吧見面喝酒。 3. 這道柵欄起到了屏障的作用，阻止人們進入。")</f>
        <v>1. 他吃了一塊巧克力。 2. 我們下班後在酒吧見面喝酒。 3. 這道柵欄起到了屏障的作用，阻止人們進入。</v>
      </c>
    </row>
    <row r="46">
      <c r="A46" s="1" t="s">
        <v>139</v>
      </c>
      <c r="B46" s="2" t="s">
        <v>140</v>
      </c>
      <c r="C46" s="1" t="s">
        <v>17</v>
      </c>
      <c r="D46" s="1" t="s">
        <v>141</v>
      </c>
      <c r="E46" s="3" t="str">
        <f>IFERROR(__xludf.DUMMYFUNCTION("GOOGLETRANSLATE(D46, ""en"", ""zh-tw"")"),"1. 在學習高階課程之前，你需要掌握基礎知識。 2. 本課程涵蓋電腦程式設計的基礎知識。")</f>
        <v>1. 在學習高階課程之前，你需要掌握基礎知識。 2. 本課程涵蓋電腦程式設計的基礎知識。</v>
      </c>
    </row>
    <row r="47">
      <c r="A47" s="1" t="s">
        <v>142</v>
      </c>
      <c r="B47" s="2" t="s">
        <v>143</v>
      </c>
      <c r="C47" s="1" t="s">
        <v>7</v>
      </c>
      <c r="D47" s="1" t="s">
        <v>144</v>
      </c>
      <c r="E47" s="3" t="str">
        <f>IFERROR(__xludf.DUMMYFUNCTION("GOOGLETRANSLATE(D47, ""en"", ""zh-tw"")"),"1. 信任是良好關係的基礎。 2. 所有決策均基於現有數據。")</f>
        <v>1. 信任是良好關係的基礎。 2. 所有決策均基於現有數據。</v>
      </c>
    </row>
    <row r="48">
      <c r="A48" s="1" t="s">
        <v>145</v>
      </c>
      <c r="B48" s="2" t="s">
        <v>146</v>
      </c>
      <c r="C48" s="1" t="s">
        <v>7</v>
      </c>
      <c r="D48" s="1" t="s">
        <v>147</v>
      </c>
      <c r="E48" s="3" t="str">
        <f>IFERROR(__xludf.DUMMYFUNCTION("GOOGLETRANSLATE(D48, ""en"", ""zh-tw"")"),"1. 士兵們在戰鬥中英勇作戰。 2. 這兩家公司正在爭奪市場佔有率。 3. 她正在與重病奮戰。")</f>
        <v>1. 士兵們在戰鬥中英勇作戰。 2. 這兩家公司正在爭奪市場佔有率。 3. 她正在與重病奮戰。</v>
      </c>
    </row>
    <row r="49">
      <c r="A49" s="1" t="s">
        <v>148</v>
      </c>
      <c r="B49" s="2" t="s">
        <v>149</v>
      </c>
      <c r="C49" s="1" t="s">
        <v>17</v>
      </c>
      <c r="D49" s="1" t="s">
        <v>150</v>
      </c>
      <c r="E49" s="3" t="str">
        <f>IFERROR(__xludf.DUMMYFUNCTION("GOOGLETRANSLATE(D49, ""en"", ""zh-tw"")"),"1. 他懇求她留下。 2. 那個無家可歸的男人在街頭乞討。")</f>
        <v>1. 他懇求她留下。 2. 那個無家可歸的男人在街頭乞討。</v>
      </c>
    </row>
    <row r="50">
      <c r="A50" s="1" t="s">
        <v>151</v>
      </c>
      <c r="B50" s="2" t="s">
        <v>152</v>
      </c>
      <c r="C50" s="1" t="s">
        <v>7</v>
      </c>
      <c r="D50" s="1" t="s">
        <v>153</v>
      </c>
      <c r="E50" s="3" t="str">
        <f>IFERROR(__xludf.DUMMYFUNCTION("GOOGLETRANSLATE(D50, ""en"", ""zh-tw"")"),"1. 人類有思考的能力。 2. 外星人是許多電影中的虛構生物。")</f>
        <v>1. 人類有思考的能力。 2. 外星人是許多電影中的虛構生物。</v>
      </c>
    </row>
    <row r="51">
      <c r="A51" s="1" t="s">
        <v>154</v>
      </c>
      <c r="B51" s="2" t="s">
        <v>155</v>
      </c>
      <c r="C51" s="1" t="s">
        <v>7</v>
      </c>
      <c r="D51" s="1" t="s">
        <v>156</v>
      </c>
      <c r="E51" s="3" t="str">
        <f>IFERROR(__xludf.DUMMYFUNCTION("GOOGLETRANSLATE(D51, ""en"", ""zh-tw"")"),"1. 她非常重視誠實。 2. 人們普遍認為運動有益健康。")</f>
        <v>1. 她非常重視誠實。 2. 人們普遍認為運動有益健康。</v>
      </c>
    </row>
    <row r="52">
      <c r="A52" s="1" t="s">
        <v>157</v>
      </c>
      <c r="B52" s="2" t="s">
        <v>158</v>
      </c>
      <c r="C52" s="1" t="s">
        <v>17</v>
      </c>
      <c r="D52" s="1" t="s">
        <v>159</v>
      </c>
      <c r="E52" s="3" t="str">
        <f>IFERROR(__xludf.DUMMYFUNCTION("GOOGLETRANSLATE(D52, ""en"", ""zh-tw"")"),"1. 注意不要彎曲金屬桿。 2. 汽車在接近道路彎道時減速。")</f>
        <v>1. 注意不要彎曲金屬桿。 2. 汽車在接近道路彎道時減速。</v>
      </c>
    </row>
    <row r="53">
      <c r="A53" s="1" t="s">
        <v>160</v>
      </c>
      <c r="B53" s="2" t="s">
        <v>161</v>
      </c>
      <c r="C53" s="1" t="s">
        <v>17</v>
      </c>
      <c r="D53" s="1" t="s">
        <v>162</v>
      </c>
      <c r="E53" s="3" t="str">
        <f>IFERROR(__xludf.DUMMYFUNCTION("GOOGLETRANSLATE(D53, ""en"", ""zh-tw"")"),"1. 這家餐廳的食物比我們上週去的那家好。 2. 他很清楚說謊是不對的。 3. 她正在努力提升自己的英語能力。")</f>
        <v>1. 這家餐廳的食物比我們上週去的那家好。 2. 他很清楚說謊是不對的。 3. 她正在努力提升自己的英語能力。</v>
      </c>
    </row>
    <row r="54">
      <c r="A54" s="1" t="s">
        <v>163</v>
      </c>
      <c r="B54" s="2" t="s">
        <v>164</v>
      </c>
      <c r="C54" s="1" t="s">
        <v>7</v>
      </c>
      <c r="D54" s="1" t="s">
        <v>165</v>
      </c>
      <c r="E54" s="3" t="str">
        <f>IFERROR(__xludf.DUMMYFUNCTION("GOOGLETRANSLATE(D54, ""en"", ""zh-tw"")"),"1. 該公司市值超過50億美元。")</f>
        <v>1. 該公司市值超過50億美元。</v>
      </c>
    </row>
    <row r="55">
      <c r="A55" s="1" t="s">
        <v>166</v>
      </c>
      <c r="B55" s="2" t="s">
        <v>167</v>
      </c>
      <c r="C55" s="1" t="s">
        <v>17</v>
      </c>
      <c r="D55" s="1" t="s">
        <v>168</v>
      </c>
      <c r="E55" s="3" t="str">
        <f>IFERROR(__xludf.DUMMYFUNCTION("GOOGLETRANSLATE(D55, ""en"", ""zh-tw"")"),"1. 孩子的出生對這個家庭來說是一件喜事。 2. 她昨晚生下了一個健康的寶寶。 3. 網路的誕生改變了世界。")</f>
        <v>1. 孩子的出生對這個家庭來說是一件喜事。 2. 她昨晚生下了一個健康的寶寶。 3. 網路的誕生改變了世界。</v>
      </c>
    </row>
    <row r="56">
      <c r="A56" s="1" t="s">
        <v>169</v>
      </c>
      <c r="B56" s="2" t="s">
        <v>170</v>
      </c>
      <c r="C56" s="1" t="s">
        <v>17</v>
      </c>
      <c r="D56" s="1" t="s">
        <v>171</v>
      </c>
      <c r="E56" s="3" t="str">
        <f>IFERROR(__xludf.DUMMYFUNCTION("GOOGLETRANSLATE(D56, ""en"", ""zh-tw"")"),"她買了一包巧克力餅乾。")</f>
        <v>她買了一包巧克力餅乾。</v>
      </c>
    </row>
    <row r="57">
      <c r="A57" s="1" t="s">
        <v>172</v>
      </c>
      <c r="B57" s="2" t="s">
        <v>173</v>
      </c>
      <c r="C57" s="1" t="s">
        <v>17</v>
      </c>
      <c r="D57" s="1" t="s">
        <v>174</v>
      </c>
      <c r="E57" s="3" t="str">
        <f>IFERROR(__xludf.DUMMYFUNCTION("GOOGLETRANSLATE(D57, ""en"", ""zh-tw"")"),"1. 你能給我一點糖嗎？ 2. 我只看了電影的一小部分。 3. 狗咬了郵差。")</f>
        <v>1. 你能給我一點糖嗎？ 2. 我只看了電影的一小部分。 3. 狗咬了郵差。</v>
      </c>
    </row>
    <row r="58">
      <c r="A58" s="1" t="s">
        <v>175</v>
      </c>
      <c r="B58" s="2" t="s">
        <v>176</v>
      </c>
      <c r="C58" s="1" t="s">
        <v>7</v>
      </c>
      <c r="D58" s="1" t="s">
        <v>177</v>
      </c>
      <c r="E58" s="3" t="str">
        <f>IFERROR(__xludf.DUMMYFUNCTION("GOOGLETRANSLATE(D58, ""en"", ""zh-tw"")"),"1. 這條河構成了兩國之間的邊界。 2. 相框周圍有一圈裝飾用的邊框。 3. 加拿大南部與美國接壤。")</f>
        <v>1. 這條河構成了兩國之間的邊界。 2. 相框周圍有一圈裝飾用的邊框。 3. 加拿大南部與美國接壤。</v>
      </c>
    </row>
    <row r="59">
      <c r="A59" s="1" t="s">
        <v>178</v>
      </c>
      <c r="B59" s="2" t="s">
        <v>179</v>
      </c>
      <c r="C59" s="1" t="s">
        <v>17</v>
      </c>
      <c r="D59" s="1" t="s">
        <v>180</v>
      </c>
      <c r="E59" s="3" t="str">
        <f>IFERROR(__xludf.DUMMYFUNCTION("GOOGLETRANSLATE(D59, ""en"", ""zh-tw"")"),"1. 大腦控制身體的所有功能。 2. 她是這個成功計畫的幕後功臣。")</f>
        <v>1. 大腦控制身體的所有功能。 2. 她是這個成功計畫的幕後功臣。</v>
      </c>
    </row>
    <row r="60">
      <c r="A60" s="1" t="s">
        <v>181</v>
      </c>
      <c r="B60" s="2" t="s">
        <v>182</v>
      </c>
      <c r="C60" s="1" t="s">
        <v>7</v>
      </c>
      <c r="D60" s="1" t="s">
        <v>183</v>
      </c>
      <c r="E60" s="3" t="str">
        <f>IFERROR(__xludf.DUMMYFUNCTION("GOOGLETRANSLATE(D60, ""en"", ""zh-tw"")"),"1. 耐吉是一個知名的運動品牌。 2. 過去，罪犯會被烙印作為懲罰。 3. 醜聞曝光後，他被指責為騙子。")</f>
        <v>1. 耐吉是一個知名的運動品牌。 2. 過去，罪犯會被烙印作為懲罰。 3. 醜聞曝光後，他被指責為騙子。</v>
      </c>
    </row>
    <row r="61">
      <c r="A61" s="1" t="s">
        <v>184</v>
      </c>
      <c r="B61" s="2" t="s">
        <v>185</v>
      </c>
      <c r="C61" s="1" t="s">
        <v>7</v>
      </c>
      <c r="D61" s="1" t="s">
        <v>186</v>
      </c>
      <c r="E61" s="3" t="str">
        <f>IFERROR(__xludf.DUMMYFUNCTION("GOOGLETRANSLATE(D61, ""en"", ""zh-tw"")"),"1. 會議開始前我們進行了簡短的對話。 2. 律師向法官提交了一份書面陳述。 3. 經理向團隊簡要介紹了新專案。")</f>
        <v>1. 會議開始前我們進行了簡短的對話。 2. 律師向法官提交了一份書面陳述。 3. 經理向團隊簡要介紹了新專案。</v>
      </c>
    </row>
    <row r="62">
      <c r="A62" s="1" t="s">
        <v>187</v>
      </c>
      <c r="B62" s="2" t="s">
        <v>188</v>
      </c>
      <c r="C62" s="1" t="s">
        <v>7</v>
      </c>
      <c r="D62" s="1" t="s">
        <v>189</v>
      </c>
      <c r="E62" s="3" t="str">
        <f>IFERROR(__xludf.DUMMYFUNCTION("GOOGLETRANSLATE(D62, ""en"", ""zh-tw"")"),"1. 夜空中繁星璀璨。 2. 她是一位傑出的科學家，有許多重要發現。")</f>
        <v>1. 夜空中繁星璀璨。 2. 她是一位傑出的科學家，有許多重要發現。</v>
      </c>
    </row>
    <row r="63">
      <c r="A63" s="1" t="s">
        <v>190</v>
      </c>
      <c r="B63" s="2" t="s">
        <v>191</v>
      </c>
      <c r="C63" s="1" t="s">
        <v>7</v>
      </c>
      <c r="D63" s="1" t="s">
        <v>192</v>
      </c>
      <c r="E63" s="3" t="str">
        <f>IFERROR(__xludf.DUMMYFUNCTION("GOOGLETRANSLATE(D63, ""en"", ""zh-tw"")"),"1. 照顧生病的父母對他來說是個沉重的負擔。 2. 我不想讓我的問題成為你的負擔。")</f>
        <v>1. 照顧生病的父母對他來說是個沉重的負擔。 2. 我不想讓我的問題成為你的負擔。</v>
      </c>
    </row>
    <row r="64">
      <c r="A64" s="1" t="s">
        <v>193</v>
      </c>
      <c r="B64" s="2" t="s">
        <v>194</v>
      </c>
      <c r="C64" s="1" t="s">
        <v>17</v>
      </c>
      <c r="D64" s="1" t="s">
        <v>195</v>
      </c>
      <c r="E64" s="3" t="str">
        <f>IFERROR(__xludf.DUMMYFUNCTION("GOOGLETRANSLATE(D64, ""en"", ""zh-tw"")"),"駱駝可以在沙漠中長時間生存。")</f>
        <v>駱駝可以在沙漠中長時間生存。</v>
      </c>
    </row>
    <row r="65">
      <c r="A65" s="1" t="s">
        <v>196</v>
      </c>
      <c r="B65" s="2" t="s">
        <v>197</v>
      </c>
      <c r="C65" s="1" t="s">
        <v>7</v>
      </c>
      <c r="D65" s="1" t="s">
        <v>198</v>
      </c>
      <c r="E65" s="3" t="str">
        <f>IFERROR(__xludf.DUMMYFUNCTION("GOOGLETRANSLATE(D65, ""en"", ""zh-tw"")"),"1. 巴黎是法國的首都。 2. 請用大寫字母寫出你的名字。 3. 他在新公司投入了大量資金。 4. 教育對一個國家的未來至關重要。")</f>
        <v>1. 巴黎是法國的首都。 2. 請用大寫字母寫出你的名字。 3. 他在新公司投入了大量資金。 4. 教育對一個國家的未來至關重要。</v>
      </c>
    </row>
    <row r="66">
      <c r="A66" s="1" t="s">
        <v>199</v>
      </c>
      <c r="B66" s="2" t="s">
        <v>200</v>
      </c>
      <c r="C66" s="1" t="s">
        <v>7</v>
      </c>
      <c r="D66" s="1" t="s">
        <v>201</v>
      </c>
      <c r="E66" s="3" t="str">
        <f>IFERROR(__xludf.DUMMYFUNCTION("GOOGLETRANSLATE(D66, ""en"", ""zh-tw"")"),"1. 這名囚犯當晚被關在一個小牢房裡。 2. 人體由數兆個細胞組成。 3. 這支手電筒需要兩顆AA電池才能運作。")</f>
        <v>1. 這名囚犯當晚被關在一個小牢房裡。 2. 人體由數兆個細胞組成。 3. 這支手電筒需要兩顆AA電池才能運作。</v>
      </c>
    </row>
    <row r="67">
      <c r="A67" s="1" t="s">
        <v>202</v>
      </c>
      <c r="B67" s="2" t="s">
        <v>203</v>
      </c>
      <c r="C67" s="1" t="s">
        <v>7</v>
      </c>
      <c r="D67" s="1" t="s">
        <v>204</v>
      </c>
      <c r="E67" s="3" t="str">
        <f>IFERROR(__xludf.DUMMYFUNCTION("GOOGLETRANSLATE(D67, ""en"", ""zh-tw"")"),"1. 他脖子上戴著一條金項鍊。 2. 這是一家在世界各地都有分店的知名速食連鎖店。 3. 這起事故導致高速公路上出現一系列交通延誤。 4. 他用鏈條把腳踏車鎖在了柱子上。")</f>
        <v>1. 他脖子上戴著一條金項鍊。 2. 這是一家在世界各地都有分店的知名速食連鎖店。 3. 這起事故導致高速公路上出現一系列交通延誤。 4. 他用鏈條把腳踏車鎖在了柱子上。</v>
      </c>
    </row>
    <row r="68">
      <c r="A68" s="1" t="s">
        <v>205</v>
      </c>
      <c r="B68" s="2" t="s">
        <v>206</v>
      </c>
      <c r="C68" s="1" t="s">
        <v>7</v>
      </c>
      <c r="D68" s="1" t="s">
        <v>207</v>
      </c>
      <c r="E68" s="3" t="str">
        <f>IFERROR(__xludf.DUMMYFUNCTION("GOOGLETRANSLATE(D68, ""en"", ""zh-tw"")"),"1. 對他來說，攀登這座山峰真是個挑戰。 2. 她向他發起了下棋的挑戰。 3. 他對經理所做的決定提出了質疑。")</f>
        <v>1. 對他來說，攀登這座山峰真是個挑戰。 2. 她向他發起了下棋的挑戰。 3. 他對經理所做的決定提出了質疑。</v>
      </c>
    </row>
    <row r="69">
      <c r="A69" s="1" t="s">
        <v>208</v>
      </c>
      <c r="B69" s="2" t="s">
        <v>209</v>
      </c>
      <c r="C69" s="1" t="s">
        <v>17</v>
      </c>
      <c r="D69" s="1" t="s">
        <v>210</v>
      </c>
      <c r="E69" s="3" t="str">
        <f>IFERROR(__xludf.DUMMYFUNCTION("GOOGLETRANSLATE(D69, ""en"", ""zh-tw"")"),"1. 我剛讀完這本小說的第五章。 2. 搬到新城市是她人生中一段令人興奮的篇章。")</f>
        <v>1. 我剛讀完這本小說的第五章。 2. 搬到新城市是她人生中一段令人興奮的篇章。</v>
      </c>
    </row>
    <row r="70">
      <c r="A70" s="1" t="s">
        <v>211</v>
      </c>
      <c r="B70" s="2" t="s">
        <v>212</v>
      </c>
      <c r="C70" s="1" t="s">
        <v>7</v>
      </c>
      <c r="D70" s="1" t="s">
        <v>213</v>
      </c>
      <c r="E70" s="3" t="str">
        <f>IFERROR(__xludf.DUMMYFUNCTION("GOOGLETRANSLATE(D70, ""en"", ""zh-tw"")"),"1. 由於化學品洩漏，工廠停產了。 2. 有些清潔產品含有有害化學物質。")</f>
        <v>1. 由於化學品洩漏，工廠停產了。 2. 有些清潔產品含有有害化學物質。</v>
      </c>
    </row>
    <row r="71">
      <c r="A71" s="1" t="s">
        <v>214</v>
      </c>
      <c r="B71" s="2" t="s">
        <v>215</v>
      </c>
      <c r="C71" s="1" t="s">
        <v>7</v>
      </c>
      <c r="D71" s="1" t="s">
        <v>216</v>
      </c>
      <c r="E71" s="3" t="str">
        <f>IFERROR(__xludf.DUMMYFUNCTION("GOOGLETRANSLATE(D71, ""en"", ""zh-tw"")"),"1. 他辭職的主要原因是工作時間太長。 2. 部落首領熱情地歡迎了來訪者。")</f>
        <v>1. 他辭職的主要原因是工作時間太長。 2. 部落首領熱情地歡迎了來訪者。</v>
      </c>
    </row>
    <row r="72">
      <c r="A72" s="1" t="s">
        <v>217</v>
      </c>
      <c r="B72" s="2" t="s">
        <v>218</v>
      </c>
      <c r="C72" s="1" t="s">
        <v>17</v>
      </c>
      <c r="D72" s="1" t="s">
        <v>219</v>
      </c>
      <c r="E72" s="3" t="str">
        <f>IFERROR(__xludf.DUMMYFUNCTION("GOOGLETRANSLATE(D72, ""en"", ""zh-tw"")"),"她收藏18世紀的古董瓷器。")</f>
        <v>她收藏18世紀的古董瓷器。</v>
      </c>
    </row>
    <row r="73">
      <c r="A73" s="1" t="s">
        <v>220</v>
      </c>
      <c r="B73" s="2" t="s">
        <v>221</v>
      </c>
      <c r="C73" s="1" t="s">
        <v>17</v>
      </c>
      <c r="D73" s="1" t="s">
        <v>222</v>
      </c>
      <c r="E73" s="3" t="str">
        <f>IFERROR(__xludf.DUMMYFUNCTION("GOOGLETRANSLATE(D73, ""en"", ""zh-tw"")"),"她把筷子掉在地上了。")</f>
        <v>她把筷子掉在地上了。</v>
      </c>
    </row>
    <row r="74">
      <c r="A74" s="1" t="s">
        <v>223</v>
      </c>
      <c r="B74" s="2" t="s">
        <v>224</v>
      </c>
      <c r="C74" s="1" t="s">
        <v>7</v>
      </c>
      <c r="D74" s="1" t="s">
        <v>225</v>
      </c>
      <c r="E74" s="3" t="str">
        <f>IFERROR(__xludf.DUMMYFUNCTION("GOOGLETRANSLATE(D74, ""en"", ""zh-tw"")"),"1. 他聲稱事發時他不在現場。 2. 該公司已向保險公司提出索賠。 3. 她要求賠償受損貨物。")</f>
        <v>1. 他聲稱事發時他不在現場。 2. 該公司已向保險公司提出索賠。 3. 她要求賠償受損貨物。</v>
      </c>
    </row>
    <row r="75">
      <c r="A75" s="1" t="s">
        <v>226</v>
      </c>
      <c r="B75" s="2" t="s">
        <v>227</v>
      </c>
      <c r="C75" s="1" t="s">
        <v>7</v>
      </c>
      <c r="D75" s="1" t="s">
        <v>228</v>
      </c>
      <c r="E75" s="3" t="str">
        <f>IFERROR(__xludf.DUMMYFUNCTION("GOOGLETRANSLATE(D75, ""en"", ""zh-tw"")"),"1. 這部小說是19世紀文學的經典。 2.《傲慢與偏見》被認為是英國文學的經典。")</f>
        <v>1. 這部小說是19世紀文學的經典。 2.《傲慢與偏見》被認為是英國文學的經典。</v>
      </c>
    </row>
    <row r="76">
      <c r="A76" s="1" t="s">
        <v>229</v>
      </c>
      <c r="B76" s="2" t="s">
        <v>230</v>
      </c>
      <c r="C76" s="1" t="s">
        <v>17</v>
      </c>
      <c r="D76" s="1" t="s">
        <v>231</v>
      </c>
      <c r="E76" s="3" t="str">
        <f>IFERROR(__xludf.DUMMYFUNCTION("GOOGLETRANSLATE(D76, ""en"", ""zh-tw"")"),"1. 點擊按鈕開始遊戲。 2. 他聽到喀嚓一聲，門鎖上了。")</f>
        <v>1. 點擊按鈕開始遊戲。 2. 他聽到喀嚓一聲，門鎖上了。</v>
      </c>
    </row>
    <row r="77">
      <c r="A77" s="1" t="s">
        <v>232</v>
      </c>
      <c r="B77" s="2" t="s">
        <v>233</v>
      </c>
      <c r="C77" s="1" t="s">
        <v>17</v>
      </c>
      <c r="D77" s="1" t="s">
        <v>234</v>
      </c>
      <c r="E77" s="3" t="str">
        <f>IFERROR(__xludf.DUMMYFUNCTION("GOOGLETRANSLATE(D77, ""en"", ""zh-tw"")"),"她用乾淨的抹布擦拭了桌子。")</f>
        <v>她用乾淨的抹布擦拭了桌子。</v>
      </c>
    </row>
    <row r="78">
      <c r="A78" s="1" t="s">
        <v>235</v>
      </c>
      <c r="B78" s="2" t="s">
        <v>236</v>
      </c>
      <c r="C78" s="1" t="s">
        <v>17</v>
      </c>
      <c r="D78" s="1" t="s">
        <v>237</v>
      </c>
      <c r="E78" s="3" t="str">
        <f>IFERROR(__xludf.DUMMYFUNCTION("GOOGLETRANSLATE(D78, ""en"", ""zh-tw"")"),"該組織為受害者提供了食物和衣物。")</f>
        <v>該組織為受害者提供了食物和衣物。</v>
      </c>
    </row>
    <row r="79">
      <c r="A79" s="1" t="s">
        <v>238</v>
      </c>
      <c r="B79" s="2" t="s">
        <v>239</v>
      </c>
      <c r="C79" s="1" t="s">
        <v>17</v>
      </c>
      <c r="D79" s="1" t="s">
        <v>240</v>
      </c>
      <c r="E79" s="3" t="str">
        <f>IFERROR(__xludf.DUMMYFUNCTION("GOOGLETRANSLATE(D79, ""en"", ""zh-tw"")"),"煤炭被用作能源。")</f>
        <v>煤炭被用作能源。</v>
      </c>
    </row>
    <row r="80">
      <c r="A80" s="1" t="s">
        <v>241</v>
      </c>
      <c r="B80" s="2" t="s">
        <v>242</v>
      </c>
      <c r="C80" s="1" t="s">
        <v>17</v>
      </c>
      <c r="D80" s="1" t="s">
        <v>243</v>
      </c>
      <c r="E80" s="3" t="str">
        <f>IFERROR(__xludf.DUMMYFUNCTION("GOOGLETRANSLATE(D80, ""en"", ""zh-tw"")"),"昨晚我在廚房裡看到了一隻蟑螂。")</f>
        <v>昨晚我在廚房裡看到了一隻蟑螂。</v>
      </c>
    </row>
    <row r="81">
      <c r="A81" s="1" t="s">
        <v>244</v>
      </c>
      <c r="B81" s="2" t="s">
        <v>245</v>
      </c>
      <c r="C81" s="1" t="s">
        <v>17</v>
      </c>
      <c r="D81" s="1" t="s">
        <v>246</v>
      </c>
      <c r="E81" s="3" t="str">
        <f>IFERROR(__xludf.DUMMYFUNCTION("GOOGLETRANSLATE(D81, ""en"", ""zh-tw"")"),"冬天我喜歡喝熱可可。")</f>
        <v>冬天我喜歡喝熱可可。</v>
      </c>
    </row>
    <row r="82">
      <c r="A82" s="1" t="s">
        <v>247</v>
      </c>
      <c r="B82" s="2" t="s">
        <v>248</v>
      </c>
      <c r="C82" s="1" t="s">
        <v>17</v>
      </c>
      <c r="D82" s="1" t="s">
        <v>249</v>
      </c>
      <c r="E82" s="3" t="str">
        <f>IFERROR(__xludf.DUMMYFUNCTION("GOOGLETRANSLATE(D82, ""en"", ""zh-tw"")"),"我點了一杯可樂。")</f>
        <v>我點了一杯可樂。</v>
      </c>
    </row>
    <row r="83">
      <c r="A83" s="1" t="s">
        <v>250</v>
      </c>
      <c r="B83" s="2" t="s">
        <v>251</v>
      </c>
      <c r="C83" s="1" t="s">
        <v>7</v>
      </c>
      <c r="D83" s="1" t="s">
        <v>252</v>
      </c>
      <c r="E83" s="3" t="str">
        <f>IFERROR(__xludf.DUMMYFUNCTION("GOOGLETRANSLATE(D83, ""en"", ""zh-tw"")"),"她將創造力與勤奮結合，從而取得了成功。")</f>
        <v>她將創造力與勤奮結合，從而取得了成功。</v>
      </c>
    </row>
    <row r="84">
      <c r="A84" s="1" t="s">
        <v>253</v>
      </c>
      <c r="B84" s="2" t="s">
        <v>254</v>
      </c>
      <c r="C84" s="1" t="s">
        <v>17</v>
      </c>
      <c r="D84" s="1" t="s">
        <v>255</v>
      </c>
      <c r="E84" s="3" t="str">
        <f>IFERROR(__xludf.DUMMYFUNCTION("GOOGLETRANSLATE(D84, ""en"", ""zh-tw"")"),"1. 這部電影有很多搞笑橋段。 2. 他喜歡看日本漫畫。 3. 這部漫畫讓觀眾笑個不停。")</f>
        <v>1. 這部電影有很多搞笑橋段。 2. 他喜歡看日本漫畫。 3. 這部漫畫讓觀眾笑個不停。</v>
      </c>
    </row>
    <row r="85">
      <c r="A85" s="1" t="s">
        <v>256</v>
      </c>
      <c r="B85" s="2" t="s">
        <v>257</v>
      </c>
      <c r="C85" s="1" t="s">
        <v>7</v>
      </c>
      <c r="D85" s="1" t="s">
        <v>258</v>
      </c>
      <c r="E85" s="3" t="str">
        <f>IFERROR(__xludf.DUMMYFUNCTION("GOOGLETRANSLATE(D85, ""en"", ""zh-tw"")"),"1. 這座城市是重要的商業中心。 2. 我們在超級盃比賽期間看了一則有趣的廣告。")</f>
        <v>1. 這座城市是重要的商業中心。 2. 我們在超級盃比賽期間看了一則有趣的廣告。</v>
      </c>
    </row>
    <row r="86">
      <c r="A86" s="1" t="s">
        <v>259</v>
      </c>
      <c r="B86" s="2" t="s">
        <v>260</v>
      </c>
      <c r="C86" s="1" t="s">
        <v>7</v>
      </c>
      <c r="D86" s="1" t="s">
        <v>261</v>
      </c>
      <c r="E86" s="3" t="str">
        <f>IFERROR(__xludf.DUMMYFUNCTION("GOOGLETRANSLATE(D86, ""en"", ""zh-tw"")"),"1. 這道數學題非常複雜。 2. 他們住在一棟大型公寓大樓裡。 3. 他有優越感。")</f>
        <v>1. 這道數學題非常複雜。 2. 他們住在一棟大型公寓大樓裡。 3. 他有優越感。</v>
      </c>
    </row>
    <row r="87">
      <c r="A87" s="1" t="s">
        <v>262</v>
      </c>
      <c r="B87" s="2" t="s">
        <v>263</v>
      </c>
      <c r="C87" s="1" t="s">
        <v>7</v>
      </c>
      <c r="D87" s="1" t="s">
        <v>264</v>
      </c>
      <c r="E87" s="3" t="str">
        <f>IFERROR(__xludf.DUMMYFUNCTION("GOOGLETRANSLATE(D87, ""en"", ""zh-tw"")"),"1. 會議於下午5點結束。 2. 根據證據，我們可以得出結論，他是無辜的。")</f>
        <v>1. 會議於下午5點結束。 2. 根據證據，我們可以得出結論，他是無辜的。</v>
      </c>
    </row>
    <row r="88">
      <c r="A88" s="1" t="s">
        <v>265</v>
      </c>
      <c r="B88" s="2" t="s">
        <v>266</v>
      </c>
      <c r="C88" s="1" t="s">
        <v>7</v>
      </c>
      <c r="D88" s="1" t="s">
        <v>267</v>
      </c>
      <c r="E88" s="3" t="str">
        <f>IFERROR(__xludf.DUMMYFUNCTION("GOOGLETRANSLATE(D88, ""en"", ""zh-tw"")"),"1. 這輛車車況良好。 2. 她在艱苦的條件下努力工作。 3. 他患有心臟病。 4. 你的成功決定了你未來的機會。")</f>
        <v>1. 這輛車車況良好。 2. 她在艱苦的條件下努力工作。 3. 他患有心臟病。 4. 你的成功決定了你未來的機會。</v>
      </c>
    </row>
    <row r="89">
      <c r="A89" s="1" t="s">
        <v>268</v>
      </c>
      <c r="B89" s="2" t="s">
        <v>269</v>
      </c>
      <c r="C89" s="1" t="s">
        <v>7</v>
      </c>
      <c r="D89" s="1" t="s">
        <v>270</v>
      </c>
      <c r="E89" s="3" t="str">
        <f>IFERROR(__xludf.DUMMYFUNCTION("GOOGLETRANSLATE(D89, ""en"", ""zh-tw"")"),"1.兩國之間曾發生衝突。 2.他們的說法相互矛盾。")</f>
        <v>1.兩國之間曾發生衝突。 2.他們的說法相互矛盾。</v>
      </c>
    </row>
    <row r="90">
      <c r="A90" s="1" t="s">
        <v>271</v>
      </c>
      <c r="B90" s="2" t="s">
        <v>272</v>
      </c>
      <c r="C90" s="1" t="s">
        <v>17</v>
      </c>
      <c r="D90" s="1" t="s">
        <v>273</v>
      </c>
      <c r="E90" s="3" t="str">
        <f>IFERROR(__xludf.DUMMYFUNCTION("GOOGLETRANSLATE(D90, ""en"", ""zh-tw"")"),"恭喜你畢業！")</f>
        <v>恭喜你畢業！</v>
      </c>
    </row>
    <row r="91">
      <c r="A91" s="1" t="s">
        <v>274</v>
      </c>
      <c r="B91" s="2" t="s">
        <v>275</v>
      </c>
      <c r="C91" s="1" t="s">
        <v>7</v>
      </c>
      <c r="D91" s="1" t="s">
        <v>276</v>
      </c>
      <c r="E91" s="3" t="str">
        <f>IFERROR(__xludf.DUMMYFUNCTION("GOOGLETRANSLATE(D91, ""en"", ""zh-tw"")"),"1. 今天的網路連線速度很慢。 2. 她透過她叔叔與這家公司有聯繫。")</f>
        <v>1. 今天的網路連線速度很慢。 2. 她透過她叔叔與這家公司有聯繫。</v>
      </c>
    </row>
    <row r="92">
      <c r="A92" s="1" t="s">
        <v>277</v>
      </c>
      <c r="B92" s="2" t="s">
        <v>278</v>
      </c>
      <c r="C92" s="1" t="s">
        <v>279</v>
      </c>
      <c r="D92" s="1" t="s">
        <v>280</v>
      </c>
      <c r="E92" s="3" t="str">
        <f>IFERROR(__xludf.DUMMYFUNCTION("GOOGLETRANSLATE(D92, ""en"", ""zh-tw"")"),"1. 經過仔細考慮，她決定接受這份工作。 2. 他對老人家非常體貼。")</f>
        <v>1. 經過仔細考慮，她決定接受這份工作。 2. 他對老人家非常體貼。</v>
      </c>
    </row>
    <row r="93">
      <c r="A93" s="1" t="s">
        <v>281</v>
      </c>
      <c r="B93" s="2" t="s">
        <v>282</v>
      </c>
      <c r="C93" s="1" t="s">
        <v>7</v>
      </c>
      <c r="D93" s="1" t="s">
        <v>283</v>
      </c>
      <c r="E93" s="3" t="str">
        <f>IFERROR(__xludf.DUMMYFUNCTION("GOOGLETRANSLATE(D93, ""en"", ""zh-tw"")"),"1. 您有新客戶的聯絡方式嗎？ 2. 如有任何疑問，請與我聯絡。")</f>
        <v>1. 您有新客戶的聯絡方式嗎？ 2. 如有任何疑問，請與我聯絡。</v>
      </c>
    </row>
    <row r="94">
      <c r="A94" s="1" t="s">
        <v>284</v>
      </c>
      <c r="B94" s="2" t="s">
        <v>285</v>
      </c>
      <c r="C94" s="1" t="s">
        <v>7</v>
      </c>
      <c r="D94" s="1" t="s">
        <v>286</v>
      </c>
      <c r="E94" s="3" t="str">
        <f>IFERROR(__xludf.DUMMYFUNCTION("GOOGLETRANSLATE(D94, ""en"", ""zh-tw"")"),"1. 這個盒子裡裝的是舊照片。 2. 這座體育場可容納5萬名觀眾。 3. 消防員們努力控制了這場山火。")</f>
        <v>1. 這個盒子裡裝的是舊照片。 2. 這座體育場可容納5萬名觀眾。 3. 消防員們努力控制了這場山火。</v>
      </c>
    </row>
    <row r="95">
      <c r="A95" s="1" t="s">
        <v>287</v>
      </c>
      <c r="B95" s="2" t="s">
        <v>288</v>
      </c>
      <c r="C95" s="1" t="s">
        <v>17</v>
      </c>
      <c r="D95" s="1" t="s">
        <v>289</v>
      </c>
      <c r="E95" s="3" t="str">
        <f>IFERROR(__xludf.DUMMYFUNCTION("GOOGLETRANSLATE(D95, ""en"", ""zh-tw"")"),"他們週末在鄉間放鬆身心。")</f>
        <v>他們週末在鄉間放鬆身心。</v>
      </c>
    </row>
    <row r="96">
      <c r="A96" s="1" t="s">
        <v>290</v>
      </c>
      <c r="B96" s="2" t="s">
        <v>291</v>
      </c>
      <c r="C96" s="1" t="s">
        <v>7</v>
      </c>
      <c r="D96" s="1" t="s">
        <v>292</v>
      </c>
      <c r="E96" s="3" t="str">
        <f>IFERROR(__xludf.DUMMYFUNCTION("GOOGLETRANSLATE(D96, ""en"", ""zh-tw"")"),"該公司去年面臨財務危機。")</f>
        <v>該公司去年面臨財務危機。</v>
      </c>
    </row>
    <row r="97">
      <c r="A97" s="1" t="s">
        <v>293</v>
      </c>
      <c r="B97" s="2" t="s">
        <v>294</v>
      </c>
      <c r="C97" s="1" t="s">
        <v>17</v>
      </c>
      <c r="D97" s="1" t="s">
        <v>295</v>
      </c>
      <c r="E97" s="3" t="str">
        <f>IFERROR(__xludf.DUMMYFUNCTION("GOOGLETRANSLATE(D97, ""en"", ""zh-tw"")"),"一隻烏鴉棲息在樹枝上。")</f>
        <v>一隻烏鴉棲息在樹枝上。</v>
      </c>
    </row>
    <row r="98">
      <c r="A98" s="1" t="s">
        <v>296</v>
      </c>
      <c r="B98" s="2" t="s">
        <v>297</v>
      </c>
      <c r="C98" s="1" t="s">
        <v>7</v>
      </c>
      <c r="D98" s="1" t="s">
        <v>298</v>
      </c>
      <c r="E98" s="3" t="str">
        <f>IFERROR(__xludf.DUMMYFUNCTION("GOOGLETRANSLATE(D98, ""en"", ""zh-tw"")"),"這個節日是對這座城市文化遺產的慶祝。")</f>
        <v>這個節日是對這座城市文化遺產的慶祝。</v>
      </c>
    </row>
    <row r="99">
      <c r="A99" s="1" t="s">
        <v>299</v>
      </c>
      <c r="B99" s="2" t="s">
        <v>300</v>
      </c>
      <c r="C99" s="1" t="s">
        <v>7</v>
      </c>
      <c r="D99" s="1" t="s">
        <v>301</v>
      </c>
      <c r="E99" s="3" t="str">
        <f>IFERROR(__xludf.DUMMYFUNCTION("GOOGLETRANSLATE(D99, ""en"", ""zh-tw"")"),"水循環對地球上的生命至關重要。")</f>
        <v>水循環對地球上的生命至關重要。</v>
      </c>
    </row>
    <row r="100">
      <c r="A100" s="1" t="s">
        <v>302</v>
      </c>
      <c r="B100" s="2" t="s">
        <v>303</v>
      </c>
      <c r="C100" s="1" t="s">
        <v>17</v>
      </c>
      <c r="D100" s="1" t="s">
        <v>304</v>
      </c>
      <c r="E100" s="3" t="str">
        <f>IFERROR(__xludf.DUMMYFUNCTION("GOOGLETRANSLATE(D100, ""en"", ""zh-tw"")"),"她想成為一名職業舞蹈演員。")</f>
        <v>她想成為一名職業舞蹈演員。</v>
      </c>
    </row>
    <row r="101">
      <c r="A101" s="1" t="s">
        <v>305</v>
      </c>
      <c r="B101" s="2" t="s">
        <v>306</v>
      </c>
      <c r="C101" s="1" t="s">
        <v>7</v>
      </c>
      <c r="D101" s="1" t="s">
        <v>307</v>
      </c>
      <c r="E101" s="3" t="str">
        <f>IFERROR(__xludf.DUMMYFUNCTION("GOOGLETRANSLATE(D101, ""en"", ""zh-tw"")"),"研究人員收集了超過 1000 名參與者的數據。")</f>
        <v>研究人員收集了超過 1000 名參與者的數據。</v>
      </c>
    </row>
    <row r="102">
      <c r="A102" s="1" t="s">
        <v>308</v>
      </c>
      <c r="B102" s="2" t="s">
        <v>309</v>
      </c>
      <c r="C102" s="1" t="s">
        <v>7</v>
      </c>
      <c r="D102" s="1" t="s">
        <v>310</v>
      </c>
      <c r="E102" s="3" t="str">
        <f>IFERROR(__xludf.DUMMYFUNCTION("GOOGLETRANSLATE(D102, ""en"", ""zh-tw"")"),"他正在努力償還所有信用卡債務。")</f>
        <v>他正在努力償還所有信用卡債務。</v>
      </c>
    </row>
    <row r="103">
      <c r="A103" s="1" t="s">
        <v>311</v>
      </c>
      <c r="B103" s="2" t="s">
        <v>312</v>
      </c>
      <c r="C103" s="1" t="s">
        <v>7</v>
      </c>
      <c r="D103" s="1" t="s">
        <v>313</v>
      </c>
      <c r="E103" s="3" t="str">
        <f>IFERROR(__xludf.DUMMYFUNCTION("GOOGLETRANSLATE(D103, ""en"", ""zh-tw"")"),"1. 火車晚點了很久才到。 2. 他們決定把會議延後到下週。")</f>
        <v>1. 火車晚點了很久才到。 2. 他們決定把會議延後到下週。</v>
      </c>
    </row>
    <row r="104">
      <c r="A104" s="1" t="s">
        <v>314</v>
      </c>
      <c r="B104" s="2" t="s">
        <v>315</v>
      </c>
      <c r="C104" s="1" t="s">
        <v>7</v>
      </c>
      <c r="D104" s="1" t="s">
        <v>316</v>
      </c>
      <c r="E104" s="3" t="str">
        <f>IFERROR(__xludf.DUMMYFUNCTION("GOOGLETRANSLATE(D104, ""en"", ""zh-tw"")"),"1. 貨物將在兩天內送達​​。 2. 她昨晚生產很順利。")</f>
        <v>1. 貨物將在兩天內送達​​。 2. 她昨晚生產很順利。</v>
      </c>
    </row>
    <row r="105">
      <c r="A105" s="1" t="s">
        <v>317</v>
      </c>
      <c r="B105" s="2" t="s">
        <v>318</v>
      </c>
      <c r="C105" s="1" t="s">
        <v>7</v>
      </c>
      <c r="D105" s="1" t="s">
        <v>319</v>
      </c>
      <c r="E105" s="3" t="str">
        <f>IFERROR(__xludf.DUMMYFUNCTION("GOOGLETRANSLATE(D105, ""en"", ""zh-tw"")"),"1. 他否認偷了錢。 2. 他們拒絕他進入大樓。")</f>
        <v>1. 他否認偷了錢。 2. 他們拒絕他進入大樓。</v>
      </c>
    </row>
    <row r="106">
      <c r="A106" s="1" t="s">
        <v>320</v>
      </c>
      <c r="B106" s="2" t="s">
        <v>321</v>
      </c>
      <c r="C106" s="1" t="s">
        <v>7</v>
      </c>
      <c r="D106" s="1" t="s">
        <v>322</v>
      </c>
      <c r="E106" s="3" t="str">
        <f>IFERROR(__xludf.DUMMYFUNCTION("GOOGLETRANSLATE(D106, ""en"", ""zh-tw"")"),"1. 泳池深兩公尺。 2. 她的演講展現了極深的理解力。")</f>
        <v>1. 泳池深兩公尺。 2. 她的演講展現了極深的理解力。</v>
      </c>
    </row>
    <row r="107">
      <c r="A107" s="1" t="s">
        <v>323</v>
      </c>
      <c r="B107" s="2" t="s">
        <v>324</v>
      </c>
      <c r="C107" s="1" t="s">
        <v>7</v>
      </c>
      <c r="D107" s="1" t="s">
        <v>325</v>
      </c>
      <c r="E107" s="3" t="str">
        <f>IFERROR(__xludf.DUMMYFUNCTION("GOOGLETRANSLATE(D107, ""en"", ""zh-tw"")"),"他詳細描述了嫌疑人的外貌特徵。")</f>
        <v>他詳細描述了嫌疑人的外貌特徵。</v>
      </c>
    </row>
    <row r="108">
      <c r="A108" s="1" t="s">
        <v>326</v>
      </c>
      <c r="B108" s="2" t="s">
        <v>327</v>
      </c>
      <c r="C108" s="1" t="s">
        <v>7</v>
      </c>
      <c r="D108" s="1" t="s">
        <v>328</v>
      </c>
      <c r="E108" s="3" t="str">
        <f>IFERROR(__xludf.DUMMYFUNCTION("GOOGLETRANSLATE(D108, ""en"", ""zh-tw"")"),"1. 她詳細解釋了計畫的每一個細節。 2. 證人詳細描述了當晚發生的事。")</f>
        <v>1. 她詳細解釋了計畫的每一個細節。 2. 證人詳細描述了當晚發生的事。</v>
      </c>
    </row>
    <row r="109">
      <c r="A109" s="1" t="s">
        <v>329</v>
      </c>
      <c r="B109" s="2" t="s">
        <v>330</v>
      </c>
      <c r="C109" s="1" t="s">
        <v>7</v>
      </c>
      <c r="D109" s="1" t="s">
        <v>331</v>
      </c>
      <c r="E109" s="3" t="str">
        <f>IFERROR(__xludf.DUMMYFUNCTION("GOOGLETRANSLATE(D109, ""en"", ""zh-tw"")"),"1. 新科技的發展改變了我們的生活。 2. 這項調查最近有了新的進展。")</f>
        <v>1. 新科技的發展改變了我們的生活。 2. 這項調查最近有了新的進展。</v>
      </c>
    </row>
    <row r="110">
      <c r="A110" s="1" t="s">
        <v>332</v>
      </c>
      <c r="B110" s="2" t="s">
        <v>333</v>
      </c>
      <c r="C110" s="1" t="s">
        <v>7</v>
      </c>
      <c r="D110" s="1" t="s">
        <v>334</v>
      </c>
      <c r="E110" s="3" t="str">
        <f>IFERROR(__xludf.DUMMYFUNCTION("GOOGLETRANSLATE(D110, ""en"", ""zh-tw"")"),"這本書以老師和學生之間的對話開頭。")</f>
        <v>這本書以老師和學生之間的對話開頭。</v>
      </c>
    </row>
    <row r="111">
      <c r="A111" s="1" t="s">
        <v>335</v>
      </c>
      <c r="B111" s="2" t="s">
        <v>336</v>
      </c>
      <c r="C111" s="1" t="s">
        <v>7</v>
      </c>
      <c r="D111" s="1" t="s">
        <v>337</v>
      </c>
      <c r="E111" s="3" t="str">
        <f>IFERROR(__xludf.DUMMYFUNCTION("GOOGLETRANSLATE(D111, ""en"", ""zh-tw"")"),"1. 她是這家公司的市場總監。 2. 這部電影是由一位著名導演執導的。")</f>
        <v>1. 她是這家公司的市場總監。 2. 這部電影是由一位著名導演執導的。</v>
      </c>
    </row>
    <row r="112">
      <c r="A112" s="1" t="s">
        <v>338</v>
      </c>
      <c r="B112" s="2" t="s">
        <v>339</v>
      </c>
      <c r="C112" s="1" t="s">
        <v>17</v>
      </c>
      <c r="D112" s="1" t="s">
        <v>340</v>
      </c>
      <c r="E112" s="3" t="str">
        <f>IFERROR(__xludf.DUMMYFUNCTION("GOOGLETRANSLATE(D112, ""en"", ""zh-tw"")"),"1. 我不同意你的觀點。 2. 他們在如何教育孩子方面經常意見不合。")</f>
        <v>1. 我不同意你的觀點。 2. 他們在如何教育孩子方面經常意見不合。</v>
      </c>
    </row>
    <row r="113">
      <c r="A113" s="1" t="s">
        <v>341</v>
      </c>
      <c r="B113" s="2" t="s">
        <v>342</v>
      </c>
      <c r="C113" s="1" t="s">
        <v>7</v>
      </c>
      <c r="D113" s="1" t="s">
        <v>343</v>
      </c>
      <c r="E113" s="3" t="str">
        <f>IFERROR(__xludf.DUMMYFUNCTION("GOOGLETRANSLATE(D113, ""en"", ""zh-tw"")"),"1. 兩份報告之間存在分歧。 2. 他們在金錢問題上產生了嚴重分歧。")</f>
        <v>1. 兩份報告之間存在分歧。 2. 他們在金錢問題上產生了嚴重分歧。</v>
      </c>
    </row>
    <row r="114">
      <c r="A114" s="1" t="s">
        <v>344</v>
      </c>
      <c r="B114" s="2" t="s">
        <v>345</v>
      </c>
      <c r="C114" s="1" t="s">
        <v>7</v>
      </c>
      <c r="D114" s="1" t="s">
        <v>346</v>
      </c>
      <c r="E114" s="3" t="str">
        <f>IFERROR(__xludf.DUMMYFUNCTION("GOOGLETRANSLATE(D114, ""en"", ""zh-tw"")"),"1. 青黴素的發現改變了現代醫學。 2. 這塊化石對科學家來說是個重要的發現。")</f>
        <v>1. 青黴素的發現改變了現代醫學。 2. 這塊化石對科學家來說是個重要的發現。</v>
      </c>
    </row>
    <row r="115">
      <c r="A115" s="1" t="s">
        <v>347</v>
      </c>
      <c r="B115" s="2" t="s">
        <v>348</v>
      </c>
      <c r="C115" s="1" t="s">
        <v>7</v>
      </c>
      <c r="D115" s="1" t="s">
        <v>349</v>
      </c>
      <c r="E115" s="3" t="str">
        <f>IFERROR(__xludf.DUMMYFUNCTION("GOOGLETRANSLATE(D115, ""en"", ""zh-tw"")"),"心臟病是全球主要死因之一。")</f>
        <v>心臟病是全球主要死因之一。</v>
      </c>
    </row>
    <row r="116">
      <c r="A116" s="1" t="s">
        <v>350</v>
      </c>
      <c r="B116" s="2" t="s">
        <v>351</v>
      </c>
      <c r="C116" s="1" t="s">
        <v>7</v>
      </c>
      <c r="D116" s="1" t="s">
        <v>352</v>
      </c>
      <c r="E116" s="3" t="str">
        <f>IFERROR(__xludf.DUMMYFUNCTION("GOOGLETRANSLATE(D116, ""en"", ""zh-tw"")"),"1. 商店在櫥窗裡展示最新產品。 2. 顯示器立即顯示結果。 3. 入口處擺放著美麗的花卉。 4. 這款手機的顯示器非常清晰。")</f>
        <v>1. 商店在櫥窗裡展示最新產品。 2. 顯示器立即顯示結果。 3. 入口處擺放著美麗的花卉。 4. 這款手機的顯示器非常清晰。</v>
      </c>
    </row>
    <row r="117">
      <c r="A117" s="1" t="s">
        <v>353</v>
      </c>
      <c r="B117" s="2" t="s">
        <v>354</v>
      </c>
      <c r="C117" s="1" t="s">
        <v>7</v>
      </c>
      <c r="D117" s="1" t="s">
        <v>355</v>
      </c>
      <c r="E117" s="3" t="str">
        <f>IFERROR(__xludf.DUMMYFUNCTION("GOOGLETRANSLATE(D117, ""en"", ""zh-tw"")"),"1. 土地分割引發了許多爭論。 2. 他在公司的行銷部工作。 3. 除法是四則運算之一。")</f>
        <v>1. 土地分割引發了許多爭論。 2. 他在公司的行銷部工作。 3. 除法是四則運算之一。</v>
      </c>
    </row>
    <row r="118">
      <c r="A118" s="1" t="s">
        <v>356</v>
      </c>
      <c r="B118" s="2" t="s">
        <v>357</v>
      </c>
      <c r="C118" s="1" t="s">
        <v>7</v>
      </c>
      <c r="D118" s="1" t="s">
        <v>358</v>
      </c>
      <c r="E118" s="3" t="str">
        <f>IFERROR(__xludf.DUMMYFUNCTION("GOOGLETRANSLATE(D118, ""en"", ""zh-tw"")"),"1. 她辭職是為了專心照顧家庭。 2. 這家航空公司只提供國內航班。 3. 狗和貓是常見的家養動物。")</f>
        <v>1. 她辭職是為了專心照顧家庭。 2. 這家航空公司只提供國內航班。 3. 狗和貓是常見的家養動物。</v>
      </c>
    </row>
    <row r="119">
      <c r="A119" s="1" t="s">
        <v>359</v>
      </c>
      <c r="B119" s="2" t="s">
        <v>360</v>
      </c>
      <c r="C119" s="1" t="s">
        <v>17</v>
      </c>
      <c r="D119" s="1" t="s">
        <v>361</v>
      </c>
      <c r="E119" s="3" t="str">
        <f>IFERROR(__xludf.DUMMYFUNCTION("GOOGLETRANSLATE(D119, ""en"", ""zh-tw"")"),"白鴿通常是和平的象徵。")</f>
        <v>白鴿通常是和平的象徵。</v>
      </c>
    </row>
    <row r="120">
      <c r="A120" s="1" t="s">
        <v>362</v>
      </c>
      <c r="B120" s="2" t="s">
        <v>363</v>
      </c>
      <c r="C120" s="1" t="s">
        <v>17</v>
      </c>
      <c r="D120" s="1" t="s">
        <v>364</v>
      </c>
      <c r="E120" s="3" t="str">
        <f>IFERROR(__xludf.DUMMYFUNCTION("GOOGLETRANSLATE(D120, ""en"", ""zh-tw"")"),"1. 她給我看了一幅很漂亮的貓的鉛筆畫。 2. 畫畫有助於孩子培養創造力。 3. 他們透過抽籤決定誰先來。")</f>
        <v>1. 她給我看了一幅很漂亮的貓的鉛筆畫。 2. 畫畫有助於孩子培養創造力。 3. 他們透過抽籤決定誰先來。</v>
      </c>
    </row>
    <row r="121">
      <c r="A121" s="1" t="s">
        <v>365</v>
      </c>
      <c r="B121" s="2" t="s">
        <v>366</v>
      </c>
      <c r="C121" s="1" t="s">
        <v>7</v>
      </c>
      <c r="D121" s="1" t="s">
        <v>367</v>
      </c>
      <c r="E121" s="3" t="str">
        <f>IFERROR(__xludf.DUMMYFUNCTION("GOOGLETRANSLATE(D121, ""en"", ""zh-tw"")"),"1. 醫生開了治療疾病的新藥給她。 2. 他因持有非法毒品被捕。 3. 病人在手術前被注射了藥物。")</f>
        <v>1. 醫生開了治療疾病的新藥給她。 2. 他因持有非法毒品被捕。 3. 病人在手術前被注射了藥物。</v>
      </c>
    </row>
    <row r="122">
      <c r="A122" s="1" t="s">
        <v>368</v>
      </c>
      <c r="B122" s="2" t="s">
        <v>369</v>
      </c>
      <c r="C122" s="1" t="s">
        <v>7</v>
      </c>
      <c r="D122" s="1" t="s">
        <v>370</v>
      </c>
      <c r="E122" s="3" t="str">
        <f>IFERROR(__xludf.DUMMYFUNCTION("GOOGLETRANSLATE(D122, ""en"", ""zh-tw"")"),"1. 付款截止日期是下週一。 2. 她辛勤工作，得到了應有的尊重。")</f>
        <v>1. 付款截止日期是下週一。 2. 她辛勤工作，得到了應有的尊重。</v>
      </c>
    </row>
    <row r="123">
      <c r="A123" s="1" t="s">
        <v>371</v>
      </c>
      <c r="B123" s="2" t="s">
        <v>372</v>
      </c>
      <c r="C123" s="1" t="s">
        <v>7</v>
      </c>
      <c r="D123" s="1" t="s">
        <v>373</v>
      </c>
      <c r="E123" s="3" t="str">
        <f>IFERROR(__xludf.DUMMYFUNCTION("GOOGLETRANSLATE(D123, ""en"", ""zh-tw"")"),"1. 這部電影太無聊了，我睡著了。 2. 這把刀太鈍了，切不動肉。")</f>
        <v>1. 這部電影太無聊了，我睡著了。 2. 這把刀太鈍了，切不動肉。</v>
      </c>
    </row>
    <row r="124">
      <c r="A124" s="1" t="s">
        <v>374</v>
      </c>
      <c r="B124" s="2" t="s">
        <v>375</v>
      </c>
      <c r="C124" s="1" t="s">
        <v>17</v>
      </c>
      <c r="D124" s="1" t="s">
        <v>376</v>
      </c>
      <c r="E124" s="3" t="str">
        <f>IFERROR(__xludf.DUMMYFUNCTION("GOOGLETRANSLATE(D124, ""en"", ""zh-tw"")"),"她戴著金耳環。")</f>
        <v>她戴著金耳環。</v>
      </c>
    </row>
    <row r="125">
      <c r="A125" s="1" t="s">
        <v>377</v>
      </c>
      <c r="B125" s="2" t="s">
        <v>378</v>
      </c>
      <c r="C125" s="1" t="s">
        <v>17</v>
      </c>
      <c r="D125" s="1" t="s">
        <v>379</v>
      </c>
      <c r="E125" s="3" t="str">
        <f>IFERROR(__xludf.DUMMYFUNCTION("GOOGLETRANSLATE(D125, ""en"", ""zh-tw"")"),"該國東部地區以其美麗的風景而聞名。")</f>
        <v>該國東部地區以其美麗的風景而聞名。</v>
      </c>
    </row>
    <row r="126">
      <c r="A126" s="1" t="s">
        <v>380</v>
      </c>
      <c r="B126" s="2" t="s">
        <v>381</v>
      </c>
      <c r="C126" s="1" t="s">
        <v>7</v>
      </c>
      <c r="D126" s="1" t="s">
        <v>382</v>
      </c>
      <c r="E126" s="3" t="str">
        <f>IFERROR(__xludf.DUMMYFUNCTION("GOOGLETRANSLATE(D126, ""en"", ""zh-tw"")"),"這是該教材的最新版本。")</f>
        <v>這是該教材的最新版本。</v>
      </c>
    </row>
    <row r="127">
      <c r="A127" s="1" t="s">
        <v>383</v>
      </c>
      <c r="B127" s="2" t="s">
        <v>384</v>
      </c>
      <c r="C127" s="1" t="s">
        <v>7</v>
      </c>
      <c r="D127" s="1" t="s">
        <v>385</v>
      </c>
      <c r="E127" s="3" t="str">
        <f>IFERROR(__xludf.DUMMYFUNCTION("GOOGLETRANSLATE(D127, ""en"", ""zh-tw"")"),"1. 這種藥對她的健康有正面作用。 2. 新法將對該行業產生重大影響。")</f>
        <v>1. 這種藥對她的健康有正面作用。 2. 新法將對該行業產生重大影響。</v>
      </c>
    </row>
    <row r="128">
      <c r="A128" s="1" t="s">
        <v>386</v>
      </c>
      <c r="B128" s="2" t="s">
        <v>387</v>
      </c>
      <c r="C128" s="1" t="s">
        <v>7</v>
      </c>
      <c r="D128" s="1" t="s">
        <v>388</v>
      </c>
      <c r="E128" s="3" t="str">
        <f>IFERROR(__xludf.DUMMYFUNCTION("GOOGLETRANSLATE(D128, ""en"", ""zh-tw"")"),"1. 這種新藥治療頭痛非常有效。 2. 這項政策將於下個月生效。")</f>
        <v>1. 這種新藥治療頭痛非常有效。 2. 這項政策將於下個月生效。</v>
      </c>
    </row>
    <row r="129">
      <c r="A129" s="1" t="s">
        <v>389</v>
      </c>
      <c r="B129" s="2" t="s">
        <v>390</v>
      </c>
      <c r="C129" s="1" t="s">
        <v>7</v>
      </c>
      <c r="D129" s="1" t="s">
        <v>391</v>
      </c>
      <c r="E129" s="3" t="str">
        <f>IFERROR(__xludf.DUMMYFUNCTION("GOOGLETRANSLATE(D129, ""en"", ""zh-tw"")"),"房子裡的電路系統需要維修。")</f>
        <v>房子裡的電路系統需要維修。</v>
      </c>
    </row>
    <row r="130">
      <c r="A130" s="1" t="s">
        <v>392</v>
      </c>
      <c r="B130" s="2" t="s">
        <v>393</v>
      </c>
      <c r="C130" s="1" t="s">
        <v>7</v>
      </c>
      <c r="D130" s="1" t="s">
        <v>394</v>
      </c>
      <c r="E130" s="3" t="str">
        <f>IFERROR(__xludf.DUMMYFUNCTION("GOOGLETRANSLATE(D130, ""en"", ""zh-tw"")"),"該公司擁有超過500名員工。")</f>
        <v>該公司擁有超過500名員工。</v>
      </c>
    </row>
    <row r="131">
      <c r="A131" s="1" t="s">
        <v>395</v>
      </c>
      <c r="B131" s="2" t="s">
        <v>396</v>
      </c>
      <c r="C131" s="1" t="s">
        <v>7</v>
      </c>
      <c r="D131" s="1" t="s">
        <v>397</v>
      </c>
      <c r="E131" s="3" t="str">
        <f>IFERROR(__xludf.DUMMYFUNCTION("GOOGLETRANSLATE(D131, ""en"", ""zh-tw"")"),"雇主為所有員工提供醫療保險。")</f>
        <v>雇主為所有員工提供醫療保險。</v>
      </c>
    </row>
    <row r="132">
      <c r="A132" s="1" t="s">
        <v>398</v>
      </c>
      <c r="B132" s="2" t="s">
        <v>399</v>
      </c>
      <c r="C132" s="1" t="s">
        <v>7</v>
      </c>
      <c r="D132" s="1" t="s">
        <v>400</v>
      </c>
      <c r="E132" s="3" t="str">
        <f>IFERROR(__xludf.DUMMYFUNCTION("GOOGLETRANSLATE(D132, ""en"", ""zh-tw"")"),"他正在尋找科技業的工作。")</f>
        <v>他正在尋找科技業的工作。</v>
      </c>
    </row>
    <row r="133">
      <c r="A133" s="1" t="s">
        <v>401</v>
      </c>
      <c r="B133" s="2" t="s">
        <v>402</v>
      </c>
      <c r="C133" s="1" t="s">
        <v>17</v>
      </c>
      <c r="D133" s="1" t="s">
        <v>403</v>
      </c>
      <c r="E133" s="3" t="str">
        <f>IFERROR(__xludf.DUMMYFUNCTION("GOOGLETRANSLATE(D133, ""en"", ""zh-tw"")"),"1. 盒子是空的。 2. 爭吵後他感到很空虛。 3. 請清空垃圾桶。")</f>
        <v>1. 盒子是空的。 2. 爭吵後他感到很空虛。 3. 請清空垃圾桶。</v>
      </c>
    </row>
    <row r="134">
      <c r="A134" s="1" t="s">
        <v>404</v>
      </c>
      <c r="B134" s="2" t="s">
        <v>405</v>
      </c>
      <c r="C134" s="1" t="s">
        <v>7</v>
      </c>
      <c r="D134" s="1" t="s">
        <v>406</v>
      </c>
      <c r="E134" s="3" t="str">
        <f>IFERROR(__xludf.DUMMYFUNCTION("GOOGLETRANSLATE(D134, ""en"", ""zh-tw"")"),"我的父母總是鼓勵我做到最好。")</f>
        <v>我的父母總是鼓勵我做到最好。</v>
      </c>
    </row>
    <row r="135">
      <c r="A135" s="1" t="s">
        <v>407</v>
      </c>
      <c r="B135" s="2" t="s">
        <v>408</v>
      </c>
      <c r="C135" s="1" t="s">
        <v>7</v>
      </c>
      <c r="D135" s="1" t="s">
        <v>409</v>
      </c>
      <c r="E135" s="3" t="str">
        <f>IFERROR(__xludf.DUMMYFUNCTION("GOOGLETRANSLATE(D135, ""en"", ""zh-tw"")"),"謝謝你的鼓勵。")</f>
        <v>謝謝你的鼓勵。</v>
      </c>
    </row>
    <row r="136">
      <c r="A136" s="1" t="s">
        <v>410</v>
      </c>
      <c r="B136" s="2" t="s">
        <v>411</v>
      </c>
      <c r="C136" s="1" t="s">
        <v>17</v>
      </c>
      <c r="D136" s="1" t="s">
        <v>412</v>
      </c>
      <c r="E136" s="3" t="str">
        <f>IFERROR(__xludf.DUMMYFUNCTION("GOOGLETRANSLATE(D136, ""en"", ""zh-tw"")"),"這部電影的結局出人意料。")</f>
        <v>這部電影的結局出人意料。</v>
      </c>
    </row>
    <row r="137">
      <c r="A137" s="1" t="s">
        <v>413</v>
      </c>
      <c r="B137" s="2" t="s">
        <v>414</v>
      </c>
      <c r="C137" s="1" t="s">
        <v>7</v>
      </c>
      <c r="D137" s="1" t="s">
        <v>415</v>
      </c>
      <c r="E137" s="3" t="str">
        <f>IFERROR(__xludf.DUMMYFUNCTION("GOOGLETRANSLATE(D137, ""en"", ""zh-tw"")"),"他一個人把整個蛋糕都吃光了。")</f>
        <v>他一個人把整個蛋糕都吃光了。</v>
      </c>
    </row>
    <row r="138">
      <c r="A138" s="1" t="s">
        <v>416</v>
      </c>
      <c r="B138" s="2" t="s">
        <v>417</v>
      </c>
      <c r="C138" s="1" t="s">
        <v>7</v>
      </c>
      <c r="D138" s="1" t="s">
        <v>418</v>
      </c>
      <c r="E138" s="3" t="str">
        <f>IFERROR(__xludf.DUMMYFUNCTION("GOOGLETRANSLATE(D138, ""en"", ""zh-tw"")"),"我們必須認真看待環境問題。")</f>
        <v>我們必須認真看待環境問題。</v>
      </c>
    </row>
    <row r="139">
      <c r="A139" s="1" t="s">
        <v>419</v>
      </c>
      <c r="B139" s="2" t="s">
        <v>420</v>
      </c>
      <c r="C139" s="1" t="s">
        <v>7</v>
      </c>
      <c r="D139" s="1" t="s">
        <v>421</v>
      </c>
      <c r="E139" s="3" t="str">
        <f>IFERROR(__xludf.DUMMYFUNCTION("GOOGLETRANSLATE(D139, ""en"", ""zh-tw"")"),"1. 這名囚犯試圖越獄。 2. 他們唯一的逃生路徑是從窗戶逃走。")</f>
        <v>1. 這名囚犯試圖越獄。 2. 他們唯一的逃生路徑是從窗戶逃走。</v>
      </c>
    </row>
    <row r="140">
      <c r="A140" s="1" t="s">
        <v>422</v>
      </c>
      <c r="B140" s="2" t="s">
        <v>423</v>
      </c>
      <c r="C140" s="1" t="s">
        <v>7</v>
      </c>
      <c r="D140" s="1" t="s">
        <v>424</v>
      </c>
      <c r="E140" s="3" t="str">
        <f>IFERROR(__xludf.DUMMYFUNCTION("GOOGLETRANSLATE(D140, ""en"", ""zh-tw"")"),"我寫了一篇關於暑假的文章。")</f>
        <v>我寫了一篇關於暑假的文章。</v>
      </c>
    </row>
    <row r="141">
      <c r="A141" s="1" t="s">
        <v>425</v>
      </c>
      <c r="B141" s="2" t="s">
        <v>426</v>
      </c>
      <c r="C141" s="1" t="s">
        <v>7</v>
      </c>
      <c r="D141" s="1" t="s">
        <v>427</v>
      </c>
      <c r="E141" s="3" t="str">
        <f>IFERROR(__xludf.DUMMYFUNCTION("GOOGLETRANSLATE(D141, ""en"", ""zh-tw"")"),"1. 我需要會議的確切時間。 2. 綁匪索要了巨額贖金。")</f>
        <v>1. 我需要會議的確切時間。 2. 綁匪索要了巨額贖金。</v>
      </c>
    </row>
    <row r="142">
      <c r="A142" s="1" t="s">
        <v>428</v>
      </c>
      <c r="B142" s="2" t="s">
        <v>429</v>
      </c>
      <c r="C142" s="1" t="s">
        <v>17</v>
      </c>
      <c r="D142" s="1" t="s">
        <v>430</v>
      </c>
      <c r="E142" s="3" t="str">
        <f>IFERROR(__xludf.DUMMYFUNCTION("GOOGLETRANSLATE(D142, ""en"", ""zh-tw"")"),"學生們正在準備期末考。")</f>
        <v>學生們正在準備期末考。</v>
      </c>
    </row>
    <row r="143">
      <c r="A143" s="1" t="s">
        <v>431</v>
      </c>
      <c r="B143" s="2" t="s">
        <v>432</v>
      </c>
      <c r="C143" s="1" t="s">
        <v>7</v>
      </c>
      <c r="D143" s="1" t="s">
        <v>433</v>
      </c>
      <c r="E143" s="3" t="str">
        <f>IFERROR(__xludf.DUMMYFUNCTION("GOOGLETRANSLATE(D143, ""en"", ""zh-tw"")"),"1. 醫生仔細檢查了病人。 2. 我們需要在做決定前檢討證據。 3. 老師下週將對學生進行考核。")</f>
        <v>1. 醫生仔細檢查了病人。 2. 我們需要在做決定前檢討證據。 3. 老師下週將對學生進行考核。</v>
      </c>
    </row>
    <row r="144">
      <c r="A144" s="1" t="s">
        <v>434</v>
      </c>
      <c r="B144" s="2" t="s">
        <v>435</v>
      </c>
      <c r="C144" s="1" t="s">
        <v>7</v>
      </c>
      <c r="D144" s="1" t="s">
        <v>436</v>
      </c>
      <c r="E144" s="3" t="str">
        <f>IFERROR(__xludf.DUMMYFUNCTION("GOOGLETRANSLATE(D144, ""en"", ""zh-tw"")"),"1. 聖誕節早上，孩子們表現得非常興奮。 2. 大賽開始前，大家都很興奮。")</f>
        <v>1. 聖誕節早上，孩子們表現得非常興奮。 2. 大賽開始前，大家都很興奮。</v>
      </c>
    </row>
    <row r="145">
      <c r="A145" s="1" t="s">
        <v>437</v>
      </c>
      <c r="B145" s="2" t="s">
        <v>438</v>
      </c>
      <c r="C145" s="1" t="s">
        <v>279</v>
      </c>
      <c r="D145" s="1" t="s">
        <v>439</v>
      </c>
      <c r="E145" s="3" t="str">
        <f>IFERROR(__xludf.DUMMYFUNCTION("GOOGLETRANSLATE(D145, ""en"", ""zh-tw"")"),"其他星球上是否存在生命仍是個謎。")</f>
        <v>其他星球上是否存在生命仍是個謎。</v>
      </c>
    </row>
    <row r="146">
      <c r="A146" s="1" t="s">
        <v>440</v>
      </c>
      <c r="B146" s="2" t="s">
        <v>441</v>
      </c>
      <c r="C146" s="1" t="s">
        <v>7</v>
      </c>
      <c r="D146" s="1" t="s">
        <v>442</v>
      </c>
      <c r="E146" s="3" t="str">
        <f>IFERROR(__xludf.DUMMYFUNCTION("GOOGLETRANSLATE(D146, ""en"", ""zh-tw"")"),"由於費用過高，這次旅行被取消了。")</f>
        <v>由於費用過高，這次旅行被取消了。</v>
      </c>
    </row>
    <row r="147">
      <c r="A147" s="1" t="s">
        <v>443</v>
      </c>
      <c r="B147" s="2" t="s">
        <v>444</v>
      </c>
      <c r="C147" s="1" t="s">
        <v>7</v>
      </c>
      <c r="D147" s="1" t="s">
        <v>445</v>
      </c>
      <c r="E147" s="3" t="str">
        <f>IFERROR(__xludf.DUMMYFUNCTION("GOOGLETRANSLATE(D147, ""en"", ""zh-tw"")"),"1. 她是電腦科學專家。 2. 他對情況進行了專業的分析。")</f>
        <v>1. 她是電腦科學專家。 2. 他對情況進行了專業的分析。</v>
      </c>
    </row>
    <row r="148">
      <c r="A148" s="1" t="s">
        <v>446</v>
      </c>
      <c r="B148" s="2" t="s">
        <v>447</v>
      </c>
      <c r="C148" s="1" t="s">
        <v>7</v>
      </c>
      <c r="D148" s="1" t="s">
        <v>448</v>
      </c>
      <c r="E148" s="3" t="str">
        <f>IFERROR(__xludf.DUMMYFUNCTION("GOOGLETRANSLATE(D148, ""en"", ""zh-tw"")"),"1. 她臉上露出驚訝的表情。 2. 這幅畫表達了藝術家的情感。")</f>
        <v>1. 她臉上露出驚訝的表情。 2. 這幅畫表達了藝術家的情感。</v>
      </c>
    </row>
    <row r="149">
      <c r="A149" s="1" t="s">
        <v>449</v>
      </c>
      <c r="B149" s="2" t="s">
        <v>450</v>
      </c>
      <c r="C149" s="1" t="s">
        <v>17</v>
      </c>
      <c r="D149" s="1" t="s">
        <v>451</v>
      </c>
      <c r="E149" s="3" t="str">
        <f>IFERROR(__xludf.DUMMYFUNCTION("GOOGLETRANSLATE(D149, ""en"", ""zh-tw"")"),"她驚訝地挑了挑眉。")</f>
        <v>她驚訝地挑了挑眉。</v>
      </c>
    </row>
    <row r="150">
      <c r="A150" s="1" t="s">
        <v>452</v>
      </c>
      <c r="B150" s="2" t="s">
        <v>453</v>
      </c>
      <c r="C150" s="1" t="s">
        <v>7</v>
      </c>
      <c r="D150" s="1" t="s">
        <v>454</v>
      </c>
      <c r="E150" s="3" t="str">
        <f>IFERROR(__xludf.DUMMYFUNCTION("GOOGLETRANSLATE(D150, ""en"", ""zh-tw"")"),"1. 天氣是決定活動日期的重要因素。 2. 在數學中，因數是指能整除另一個數的數。")</f>
        <v>1. 天氣是決定活動日期的重要因素。 2. 在數學中，因數是指能整除另一個數的數。</v>
      </c>
    </row>
    <row r="151">
      <c r="A151" s="1" t="s">
        <v>455</v>
      </c>
      <c r="B151" s="2" t="s">
        <v>456</v>
      </c>
      <c r="C151" s="1" t="s">
        <v>7</v>
      </c>
      <c r="D151" s="1" t="s">
        <v>457</v>
      </c>
      <c r="E151" s="3" t="str">
        <f>IFERROR(__xludf.DUMMYFUNCTION("GOOGLETRANSLATE(D151, ""en"", ""zh-tw"")"),"儘管失敗了，但他從未放棄。")</f>
        <v>儘管失敗了，但他從未放棄。</v>
      </c>
    </row>
    <row r="152">
      <c r="A152" s="1" t="s">
        <v>458</v>
      </c>
      <c r="B152" s="2" t="s">
        <v>459</v>
      </c>
      <c r="C152" s="1" t="s">
        <v>7</v>
      </c>
      <c r="D152" s="1" t="s">
        <v>460</v>
      </c>
      <c r="E152" s="3" t="str">
        <f>IFERROR(__xludf.DUMMYFUNCTION("GOOGLETRANSLATE(D152, ""en"", ""zh-tw"")"),"1. 這件洋裝是按照20世紀20年代的風格製作的。 2. 她喜歡追逐最新的時尚潮流。 3. 這位藝術家用黏土製作了一個雕塑。")</f>
        <v>1. 這件洋裝是按照20世紀20年代的風格製作的。 2. 她喜歡追逐最新的時尚潮流。 3. 這位藝術家用黏土製作了一個雕塑。</v>
      </c>
    </row>
    <row r="153">
      <c r="A153" s="1" t="s">
        <v>461</v>
      </c>
      <c r="B153" s="2" t="s">
        <v>462</v>
      </c>
      <c r="C153" s="1" t="s">
        <v>7</v>
      </c>
      <c r="D153" s="1" t="s">
        <v>463</v>
      </c>
      <c r="E153" s="3" t="str">
        <f>IFERROR(__xludf.DUMMYFUNCTION("GOOGLETRANSLATE(D153, ""en"", ""zh-tw"")"),"有些人認為命運決定了人生的一切。")</f>
        <v>有些人認為命運決定了人生的一切。</v>
      </c>
    </row>
    <row r="154">
      <c r="A154" s="1" t="s">
        <v>464</v>
      </c>
      <c r="B154" s="2" t="s">
        <v>465</v>
      </c>
      <c r="C154" s="1" t="s">
        <v>7</v>
      </c>
      <c r="D154" s="1" t="s">
        <v>466</v>
      </c>
      <c r="E154" s="3" t="str">
        <f>IFERROR(__xludf.DUMMYFUNCTION("GOOGLETRANSLATE(D154, ""en"", ""zh-tw"")"),"1. 你能幫我個忙嗎？ 2. 她對新進員工很優待。 3. 老師偏愛積極參與課堂的學生。")</f>
        <v>1. 你能幫我個忙嗎？ 2. 她對新進員工很優待。 3. 老師偏愛積極參與課堂的學生。</v>
      </c>
    </row>
    <row r="155">
      <c r="A155" s="1" t="s">
        <v>467</v>
      </c>
      <c r="B155" s="2" t="s">
        <v>468</v>
      </c>
      <c r="C155" s="1" t="s">
        <v>7</v>
      </c>
      <c r="D155" s="1" t="s">
        <v>469</v>
      </c>
      <c r="E155" s="3" t="str">
        <f>IFERROR(__xludf.DUMMYFUNCTION("GOOGLETRANSLATE(D155, ""en"", ""zh-tw"")"),"1. 這款智慧型手機有許多實用功能。 2. 這個節日以當地藝術家和音樂家為特色。")</f>
        <v>1. 這款智慧型手機有許多實用功能。 2. 這個節日以當地藝術家和音樂家為特色。</v>
      </c>
    </row>
    <row r="156">
      <c r="A156" s="1" t="s">
        <v>470</v>
      </c>
      <c r="B156" s="2" t="s">
        <v>471</v>
      </c>
      <c r="C156" s="1" t="s">
        <v>7</v>
      </c>
      <c r="D156" s="1" t="s">
        <v>472</v>
      </c>
      <c r="E156" s="3" t="str">
        <f>IFERROR(__xludf.DUMMYFUNCTION("GOOGLETRANSLATE(D156, ""en"", ""zh-tw"")"),"他看起來是個不錯的人。")</f>
        <v>他看起來是個不錯的人。</v>
      </c>
    </row>
    <row r="157">
      <c r="A157" s="1" t="s">
        <v>473</v>
      </c>
      <c r="B157" s="2" t="s">
        <v>474</v>
      </c>
      <c r="C157" s="1" t="s">
        <v>17</v>
      </c>
      <c r="D157" s="1" t="s">
        <v>475</v>
      </c>
      <c r="E157" s="3" t="str">
        <f>IFERROR(__xludf.DUMMYFUNCTION("GOOGLETRANSLATE(D157, ""en"", ""zh-tw"")"),"1. 她是該國第一位女總統。 2. 這位醫生是位女性。")</f>
        <v>1. 她是該國第一位女總統。 2. 這位醫生是位女性。</v>
      </c>
    </row>
    <row r="158">
      <c r="A158" s="1" t="s">
        <v>476</v>
      </c>
      <c r="B158" s="2" t="s">
        <v>477</v>
      </c>
      <c r="C158" s="1" t="s">
        <v>7</v>
      </c>
      <c r="D158" s="1" t="s">
        <v>478</v>
      </c>
      <c r="E158" s="3" t="str">
        <f>IFERROR(__xludf.DUMMYFUNCTION("GOOGLETRANSLATE(D158, ""en"", ""zh-tw"")"),"1. 牛群正在田野裡吃草。 2. 她是醫學領域的專家。")</f>
        <v>1. 牛群正在田野裡吃草。 2. 她是醫學領域的專家。</v>
      </c>
    </row>
    <row r="159">
      <c r="A159" s="1" t="s">
        <v>479</v>
      </c>
      <c r="B159" s="2" t="s">
        <v>480</v>
      </c>
      <c r="C159" s="1" t="s">
        <v>7</v>
      </c>
      <c r="D159" s="1" t="s">
        <v>481</v>
      </c>
      <c r="E159" s="3" t="str">
        <f>IFERROR(__xludf.DUMMYFUNCTION("GOOGLETRANSLATE(D159, ""en"", ""zh-tw"")"),"1. 她身材苗條。 2. 他是音樂界一位知名人士。 3. 你能讀懂這個圖嗎？ 4. 請看課本上的圖2。5. 我覺得他又要遲到了。")</f>
        <v>1. 她身材苗條。 2. 他是音樂界一位知名人士。 3. 你能讀懂這個圖嗎？ 4. 請看課本上的圖2。5. 我覺得他又要遲到了。</v>
      </c>
    </row>
    <row r="160">
      <c r="A160" s="1" t="s">
        <v>482</v>
      </c>
      <c r="B160" s="2" t="s">
        <v>483</v>
      </c>
      <c r="C160" s="1" t="s">
        <v>17</v>
      </c>
      <c r="D160" s="1" t="s">
        <v>484</v>
      </c>
      <c r="E160" s="3" t="str">
        <f>IFERROR(__xludf.DUMMYFUNCTION("GOOGLETRANSLATE(D160, ""en"", ""zh-tw"")"),"消防員從著火的房子裡救出了孩子。")</f>
        <v>消防員從著火的房子裡救出了孩子。</v>
      </c>
    </row>
    <row r="161">
      <c r="A161" s="1" t="s">
        <v>485</v>
      </c>
      <c r="B161" s="2" t="s">
        <v>486</v>
      </c>
      <c r="C161" s="1" t="s">
        <v>7</v>
      </c>
      <c r="D161" s="1" t="s">
        <v>487</v>
      </c>
      <c r="E161" s="3" t="str">
        <f>IFERROR(__xludf.DUMMYFUNCTION("GOOGLETRANSLATE(D161, ""en"", ""zh-tw"")"),"1. 他在一家律師事務所工作。 2. 我們腳下的地面很穩固。 3. 我們需要在提交計劃之前完善它。")</f>
        <v>1. 他在一家律師事務所工作。 2. 我們腳下的地面很穩固。 3. 我們需要在提交計劃之前完善它。</v>
      </c>
    </row>
    <row r="162">
      <c r="A162" s="1" t="s">
        <v>488</v>
      </c>
      <c r="B162" s="2" t="s">
        <v>489</v>
      </c>
      <c r="C162" s="1" t="s">
        <v>17</v>
      </c>
      <c r="D162" s="1" t="s">
        <v>490</v>
      </c>
      <c r="E162" s="3" t="str">
        <f>IFERROR(__xludf.DUMMYFUNCTION("GOOGLETRANSLATE(D162, ""en"", ""zh-tw"")"),"1. 這條路平坦易行。")</f>
        <v>1. 這條路平坦易行。</v>
      </c>
    </row>
    <row r="163">
      <c r="A163" s="1" t="s">
        <v>491</v>
      </c>
      <c r="B163" s="2" t="s">
        <v>492</v>
      </c>
      <c r="C163" s="1" t="s">
        <v>7</v>
      </c>
      <c r="D163" s="1" t="s">
        <v>493</v>
      </c>
      <c r="E163" s="3" t="str">
        <f>IFERROR(__xludf.DUMMYFUNCTION("GOOGLETRANSLATE(D163, ""en"", ""zh-tw"")"),"1. 水流非常湍急。 2. 河流流入大海。")</f>
        <v>1. 水流非常湍急。 2. 河流流入大海。</v>
      </c>
    </row>
    <row r="164">
      <c r="A164" s="1" t="s">
        <v>494</v>
      </c>
      <c r="B164" s="2" t="s">
        <v>495</v>
      </c>
      <c r="C164" s="1" t="s">
        <v>7</v>
      </c>
      <c r="D164" s="1" t="s">
        <v>496</v>
      </c>
      <c r="E164" s="3" t="str">
        <f>IFERROR(__xludf.DUMMYFUNCTION("GOOGLETRANSLATE(D164, ""en"", ""zh-tw"")"),"1. 有些人喜歡鄉村而不是城市。 2. 她喜歡聽愛爾蘭民謠。 3. 他是一位民間藝術收藏家。")</f>
        <v>1. 有些人喜歡鄉村而不是城市。 2. 她喜歡聽愛爾蘭民謠。 3. 他是一位民間藝術收藏家。</v>
      </c>
    </row>
    <row r="165">
      <c r="A165" s="1" t="s">
        <v>497</v>
      </c>
      <c r="B165" s="2" t="s">
        <v>498</v>
      </c>
      <c r="C165" s="1" t="s">
        <v>7</v>
      </c>
      <c r="D165" s="1" t="s">
        <v>499</v>
      </c>
      <c r="E165" s="3" t="str">
        <f>IFERROR(__xludf.DUMMYFUNCTION("GOOGLETRANSLATE(D165, ""en"", ""zh-tw"")"),"1. 請仔細閱讀以下說明。 2. 會後，我們一起吃了午餐。 3. 這位歌手在社群媒體上擁有眾多粉絲。")</f>
        <v>1. 請仔細閱讀以下說明。 2. 會後，我們一起吃了午餐。 3. 這位歌手在社群媒體上擁有眾多粉絲。</v>
      </c>
    </row>
    <row r="166">
      <c r="A166" s="1" t="s">
        <v>500</v>
      </c>
      <c r="B166" s="2" t="s">
        <v>501</v>
      </c>
      <c r="C166" s="1" t="s">
        <v>7</v>
      </c>
      <c r="D166" s="1" t="s">
        <v>502</v>
      </c>
      <c r="E166" s="3" t="str">
        <f>IFERROR(__xludf.DUMMYFUNCTION("GOOGLETRANSLATE(D166, ""en"", ""zh-tw"")"),"1. 強風把窗戶吹破了。 2. 他們強迫他道歉。")</f>
        <v>1. 強風把窗戶吹破了。 2. 他們強迫他道歉。</v>
      </c>
    </row>
    <row r="167">
      <c r="A167" s="1" t="s">
        <v>503</v>
      </c>
      <c r="B167" s="2" t="s">
        <v>504</v>
      </c>
      <c r="C167" s="1" t="s">
        <v>279</v>
      </c>
      <c r="D167" s="1" t="s">
        <v>505</v>
      </c>
      <c r="E167" s="3" t="str">
        <f>IFERROR(__xludf.DUMMYFUNCTION("GOOGLETRANSLATE(D167, ""en"", ""zh-tw"")"),"她走上前去發言。")</f>
        <v>她走上前去發言。</v>
      </c>
    </row>
    <row r="168">
      <c r="A168" s="1" t="s">
        <v>506</v>
      </c>
      <c r="B168" s="2" t="s">
        <v>507</v>
      </c>
      <c r="C168" s="1" t="s">
        <v>17</v>
      </c>
      <c r="D168" s="1" t="s">
        <v>508</v>
      </c>
      <c r="E168" s="3" t="str">
        <f>IFERROR(__xludf.DUMMYFUNCTION("GOOGLETRANSLATE(D168, ""en"", ""zh-tw"")"),"1. 請向前走。 2. 船頭受損了。 3. 她說話很直率。 4. 我會把你的郵件轉寄給經理。")</f>
        <v>1. 請向前走。 2. 船頭受損了。 3. 她說話很直率。 4. 我會把你的郵件轉寄給經理。</v>
      </c>
    </row>
    <row r="169">
      <c r="A169" s="1" t="s">
        <v>509</v>
      </c>
      <c r="B169" s="2" t="s">
        <v>510</v>
      </c>
      <c r="C169" s="1" t="s">
        <v>7</v>
      </c>
      <c r="D169" s="1" t="s">
        <v>511</v>
      </c>
      <c r="E169" s="3" t="str">
        <f>IFERROR(__xludf.DUMMYFUNCTION("GOOGLETRANSLATE(D169, ""en"", ""zh-tw"")"),"他們去年創立了一家新公司。")</f>
        <v>他們去年創立了一家新公司。</v>
      </c>
    </row>
    <row r="170">
      <c r="A170" s="1" t="s">
        <v>512</v>
      </c>
      <c r="B170" s="2" t="s">
        <v>513</v>
      </c>
      <c r="C170" s="1" t="s">
        <v>17</v>
      </c>
      <c r="D170" s="1" t="s">
        <v>514</v>
      </c>
      <c r="E170" s="3" t="str">
        <f>IFERROR(__xludf.DUMMYFUNCTION("GOOGLETRANSLATE(D170, ""en"", ""zh-tw"")"),"我點了一份漢堡和薯條。")</f>
        <v>我點了一份漢堡和薯條。</v>
      </c>
    </row>
    <row r="171">
      <c r="A171" s="1" t="s">
        <v>515</v>
      </c>
      <c r="B171" s="2" t="s">
        <v>516</v>
      </c>
      <c r="C171" s="1" t="s">
        <v>7</v>
      </c>
      <c r="D171" s="1" t="s">
        <v>517</v>
      </c>
      <c r="E171" s="3" t="str">
        <f>IFERROR(__xludf.DUMMYFUNCTION("GOOGLETRANSLATE(D171, ""en"", ""zh-tw"")"),"1. 心臟的功能是泵血。 2. 這台機器運轉正常。")</f>
        <v>1. 心臟的功能是泵血。 2. 這台機器運轉正常。</v>
      </c>
    </row>
    <row r="172">
      <c r="A172" s="1" t="s">
        <v>518</v>
      </c>
      <c r="B172" s="2" t="s">
        <v>519</v>
      </c>
      <c r="C172" s="1" t="s">
        <v>7</v>
      </c>
      <c r="D172" s="1" t="s">
        <v>520</v>
      </c>
      <c r="E172" s="3" t="str">
        <f>IFERROR(__xludf.DUMMYFUNCTION("GOOGLETRANSLATE(D172, ""en"", ""zh-tw"")"),"1. 下週將繼續進行調查。 2. 我們需要更多資訊才能做出決定。 3. 她努力工作以促進自己的事業發展。")</f>
        <v>1. 下週將繼續進行調查。 2. 我們需要更多資訊才能做出決定。 3. 她努力工作以促進自己的事業發展。</v>
      </c>
    </row>
    <row r="173">
      <c r="A173" s="1" t="s">
        <v>521</v>
      </c>
      <c r="B173" s="2" t="s">
        <v>522</v>
      </c>
      <c r="C173" s="1" t="s">
        <v>17</v>
      </c>
      <c r="D173" s="1" t="s">
        <v>523</v>
      </c>
      <c r="E173" s="3" t="str">
        <f>IFERROR(__xludf.DUMMYFUNCTION("GOOGLETRANSLATE(D173, ""en"", ""zh-tw"")"),"園丁每天早上都會​​給花澆水。")</f>
        <v>園丁每天早上都會​​給花澆水。</v>
      </c>
    </row>
    <row r="174">
      <c r="A174" s="1" t="s">
        <v>524</v>
      </c>
      <c r="B174" s="2" t="s">
        <v>525</v>
      </c>
      <c r="C174" s="1" t="s">
        <v>17</v>
      </c>
      <c r="D174" s="1" t="s">
        <v>526</v>
      </c>
      <c r="E174" s="3" t="str">
        <f>IFERROR(__xludf.DUMMYFUNCTION("GOOGLETRANSLATE(D174, ""en"", ""zh-tw"")"),"我喜歡蒜蓉橄欖油意麵。")</f>
        <v>我喜歡蒜蓉橄欖油意麵。</v>
      </c>
    </row>
    <row r="175">
      <c r="A175" s="1" t="s">
        <v>527</v>
      </c>
      <c r="B175" s="2" t="s">
        <v>528</v>
      </c>
      <c r="C175" s="1" t="s">
        <v>17</v>
      </c>
      <c r="D175" s="1" t="s">
        <v>529</v>
      </c>
      <c r="E175" s="3" t="str">
        <f>IFERROR(__xludf.DUMMYFUNCTION("GOOGLETRANSLATE(D175, ""en"", ""zh-tw"")"),"長頸鹿的脖子很長。")</f>
        <v>長頸鹿的脖子很長。</v>
      </c>
    </row>
    <row r="176">
      <c r="A176" s="1" t="s">
        <v>530</v>
      </c>
      <c r="B176" s="2" t="s">
        <v>531</v>
      </c>
      <c r="C176" s="1" t="s">
        <v>7</v>
      </c>
      <c r="D176" s="1" t="s">
        <v>532</v>
      </c>
      <c r="E176" s="3" t="str">
        <f>IFERROR(__xludf.DUMMYFUNCTION("GOOGLETRANSLATE(D176, ""en"", ""zh-tw"")"),"該國由民選總統治理。")</f>
        <v>該國由民選總統治理。</v>
      </c>
    </row>
    <row r="177">
      <c r="A177" s="1" t="s">
        <v>533</v>
      </c>
      <c r="B177" s="2" t="s">
        <v>534</v>
      </c>
      <c r="C177" s="1" t="s">
        <v>7</v>
      </c>
      <c r="D177" s="1" t="s">
        <v>535</v>
      </c>
      <c r="E177" s="3" t="str">
        <f>IFERROR(__xludf.DUMMYFUNCTION("GOOGLETRANSLATE(D177, ""en"", ""zh-tw"")"),"他的身體狀況已逐漸改善。")</f>
        <v>他的身體狀況已逐漸改善。</v>
      </c>
    </row>
    <row r="178">
      <c r="A178" s="1" t="s">
        <v>536</v>
      </c>
      <c r="B178" s="2" t="s">
        <v>537</v>
      </c>
      <c r="C178" s="1" t="s">
        <v>7</v>
      </c>
      <c r="D178" s="1" t="s">
        <v>538</v>
      </c>
      <c r="E178" s="3" t="str">
        <f>IFERROR(__xludf.DUMMYFUNCTION("GOOGLETRANSLATE(D178, ""en"", ""zh-tw"")"),"1. 這位農民今年收穫了數噸糧食。")</f>
        <v>1. 這位農民今年收穫了數噸糧食。</v>
      </c>
    </row>
    <row r="179">
      <c r="A179" s="1" t="s">
        <v>539</v>
      </c>
      <c r="B179" s="2" t="s">
        <v>540</v>
      </c>
      <c r="C179" s="1" t="s">
        <v>7</v>
      </c>
      <c r="D179" s="1" t="s">
        <v>541</v>
      </c>
      <c r="E179" s="3" t="str">
        <f>IFERROR(__xludf.DUMMYFUNCTION("GOOGLETRANSLATE(D179, ""en"", ""zh-tw"")"),"1. 他們舉行了盛大的儀式來慶祝新博物館的開幕。 2. 她夢想成為一名著名演員。 3. 那是個非常棒的假期！")</f>
        <v>1. 他們舉行了盛大的儀式來慶祝新博物館的開幕。 2. 她夢想成為一名著名演員。 3. 那是個非常棒的假期！</v>
      </c>
    </row>
    <row r="180">
      <c r="A180" s="1" t="s">
        <v>542</v>
      </c>
      <c r="B180" s="2" t="s">
        <v>543</v>
      </c>
      <c r="C180" s="1" t="s">
        <v>7</v>
      </c>
      <c r="D180" s="1" t="s">
        <v>544</v>
      </c>
      <c r="E180" s="3" t="str">
        <f>IFERROR(__xludf.DUMMYFUNCTION("GOOGLETRANSLATE(D180, ""en"", ""zh-tw"")"),"1. 健康的飲食對孩子的成長至關重要。 2. 該公司近年來發展迅速。")</f>
        <v>1. 健康的飲食對孩子的成長至關重要。 2. 該公司近年來發展迅速。</v>
      </c>
    </row>
    <row r="181">
      <c r="A181" s="1" t="s">
        <v>545</v>
      </c>
      <c r="B181" s="2" t="s">
        <v>546</v>
      </c>
      <c r="C181" s="1" t="s">
        <v>17</v>
      </c>
      <c r="D181" s="1" t="s">
        <v>547</v>
      </c>
      <c r="E181" s="3" t="str">
        <f>IFERROR(__xludf.DUMMYFUNCTION("GOOGLETRANSLATE(D181, ""en"", ""zh-tw"")"),"學生們正在體育館打籃球。")</f>
        <v>學生們正在體育館打籃球。</v>
      </c>
    </row>
    <row r="182">
      <c r="A182" s="1" t="s">
        <v>548</v>
      </c>
      <c r="B182" s="2" t="s">
        <v>549</v>
      </c>
      <c r="C182" s="1" t="s">
        <v>17</v>
      </c>
      <c r="D182" s="1" t="s">
        <v>550</v>
      </c>
      <c r="E182" s="3" t="str">
        <f>IFERROR(__xludf.DUMMYFUNCTION("GOOGLETRANSLATE(D182, ""en"", ""zh-tw"")"),"我午餐吃了漢堡。")</f>
        <v>我午餐吃了漢堡。</v>
      </c>
    </row>
    <row r="183">
      <c r="A183" s="1" t="s">
        <v>551</v>
      </c>
      <c r="B183" s="2" t="s">
        <v>552</v>
      </c>
      <c r="C183" s="1" t="s">
        <v>17</v>
      </c>
      <c r="D183" s="1" t="s">
        <v>553</v>
      </c>
      <c r="E183" s="3" t="str">
        <f>IFERROR(__xludf.DUMMYFUNCTION("GOOGLETRANSLATE(D183, ""en"", ""zh-tw"")"),"1. 她相信她的祖母在天堂。 2. 這片海灘宛如天堂。 3. 天裂開了，下起了傾盆大雨。")</f>
        <v>1. 她相信她的祖母在天堂。 2. 這片海灘宛如天堂。 3. 天裂開了，下起了傾盆大雨。</v>
      </c>
    </row>
    <row r="184">
      <c r="A184" s="1" t="s">
        <v>554</v>
      </c>
      <c r="B184" s="2" t="s">
        <v>555</v>
      </c>
      <c r="C184" s="1" t="s">
        <v>17</v>
      </c>
      <c r="D184" s="1" t="s">
        <v>556</v>
      </c>
      <c r="E184" s="3" t="str">
        <f>IFERROR(__xludf.DUMMYFUNCTION("GOOGLETRANSLATE(D184, ""en"", ""zh-tw"")"),"他因救了孩子而被視為英雄。")</f>
        <v>他因救了孩子而被視為英雄。</v>
      </c>
    </row>
    <row r="185">
      <c r="A185" s="1" t="s">
        <v>557</v>
      </c>
      <c r="B185" s="2" t="s">
        <v>558</v>
      </c>
      <c r="C185" s="1" t="s">
        <v>7</v>
      </c>
      <c r="D185" s="1" t="s">
        <v>559</v>
      </c>
      <c r="E185" s="3" t="str">
        <f>IFERROR(__xludf.DUMMYFUNCTION("GOOGLETRANSLATE(D185, ""en"", ""zh-tw"")"),"1. 她是一位非常聰明的女性。 2. 這是一個高度敏感的問題。")</f>
        <v>1. 她是一位非常聰明的女性。 2. 這是一個高度敏感的問題。</v>
      </c>
    </row>
    <row r="186">
      <c r="A186" s="1" t="s">
        <v>560</v>
      </c>
      <c r="B186" s="2" t="s">
        <v>561</v>
      </c>
      <c r="C186" s="1" t="s">
        <v>17</v>
      </c>
      <c r="D186" s="1" t="s">
        <v>562</v>
      </c>
      <c r="E186" s="3" t="str">
        <f>IFERROR(__xludf.DUMMYFUNCTION("GOOGLETRANSLATE(D186, ""en"", ""zh-tw"")"),"1. 我們徒步走了10公里。 2. 我們上週末去山裡健行了。 3. 政府計劃提高燃油價格。")</f>
        <v>1. 我們徒步走了10公里。 2. 我們上週末去山裡健行了。 3. 政府計劃提高燃油價格。</v>
      </c>
    </row>
    <row r="187">
      <c r="A187" s="1" t="s">
        <v>563</v>
      </c>
      <c r="B187" s="2" t="s">
        <v>564</v>
      </c>
      <c r="C187" s="1" t="s">
        <v>17</v>
      </c>
      <c r="D187" s="1" t="s">
        <v>565</v>
      </c>
      <c r="E187" s="3" t="str">
        <f>IFERROR(__xludf.DUMMYFUNCTION("GOOGLETRANSLATE(D187, ""en"", ""zh-tw"")"),"我們在動物園看到了河馬。")</f>
        <v>我們在動物園看到了河馬。</v>
      </c>
    </row>
    <row r="188">
      <c r="A188" s="1" t="s">
        <v>566</v>
      </c>
      <c r="B188" s="2" t="s">
        <v>567</v>
      </c>
      <c r="C188" s="1" t="s">
        <v>7</v>
      </c>
      <c r="D188" s="1" t="s">
        <v>568</v>
      </c>
      <c r="E188" s="3" t="str">
        <f>IFERROR(__xludf.DUMMYFUNCTION("GOOGLETRANSLATE(D188, ""en"", ""zh-tw"")"),"這本書講述的是中國古代的歷史事件。")</f>
        <v>這本書講述的是中國古代的歷史事件。</v>
      </c>
    </row>
    <row r="189">
      <c r="A189" s="1" t="s">
        <v>569</v>
      </c>
      <c r="B189" s="2" t="s">
        <v>570</v>
      </c>
      <c r="C189" s="1" t="s">
        <v>7</v>
      </c>
      <c r="D189" s="1" t="s">
        <v>571</v>
      </c>
      <c r="E189" s="3" t="str">
        <f>IFERROR(__xludf.DUMMYFUNCTION("GOOGLETRANSLATE(D189, ""en"", ""zh-tw"")"),"1. 他在聚會中非常慷慨。 2. 台灣將於明年主辦國際會議。")</f>
        <v>1. 他在聚會中非常慷慨。 2. 台灣將於明年主辦國際會議。</v>
      </c>
    </row>
    <row r="190">
      <c r="A190" s="1" t="s">
        <v>572</v>
      </c>
      <c r="B190" s="2" t="s">
        <v>573</v>
      </c>
      <c r="C190" s="1" t="s">
        <v>17</v>
      </c>
      <c r="D190" s="1" t="s">
        <v>574</v>
      </c>
      <c r="E190" s="3" t="str">
        <f>IFERROR(__xludf.DUMMYFUNCTION("GOOGLETRANSLATE(D190, ""en"", ""zh-tw"")"),"1. 他們住在海邊一棟很大的房子。 2. 音樂會現場人山人海。")</f>
        <v>1. 他們住在海邊一棟很大的房子。 2. 音樂會現場人山人海。</v>
      </c>
    </row>
    <row r="191">
      <c r="A191" s="1" t="s">
        <v>575</v>
      </c>
      <c r="B191" s="2" t="s">
        <v>576</v>
      </c>
      <c r="C191" s="1" t="s">
        <v>7</v>
      </c>
      <c r="D191" s="1" t="s">
        <v>577</v>
      </c>
      <c r="E191" s="3" t="str">
        <f>IFERROR(__xludf.DUMMYFUNCTION("GOOGLETRANSLATE(D191, ""en"", ""zh-tw"")"),"1. 這是理想的度假勝地。 2. 他努力實踐自己的理想。")</f>
        <v>1. 這是理想的度假勝地。 2. 他努力實踐自己的理想。</v>
      </c>
    </row>
    <row r="192">
      <c r="A192" s="1" t="s">
        <v>578</v>
      </c>
      <c r="B192" s="2" t="s">
        <v>579</v>
      </c>
      <c r="C192" s="1" t="s">
        <v>7</v>
      </c>
      <c r="D192" s="1" t="s">
        <v>580</v>
      </c>
      <c r="E192" s="3" t="str">
        <f>IFERROR(__xludf.DUMMYFUNCTION("GOOGLETRANSLATE(D192, ""en"", ""zh-tw"")"),"1. 他向警官出示了身分證。 2. 文化認同對許多人來說很重要。 3. 她為自己作為藝術家的認同而苦惱。")</f>
        <v>1. 他向警官出示了身分證。 2. 文化認同對許多人來說很重要。 3. 她為自己作為藝術家的認同而苦惱。</v>
      </c>
    </row>
    <row r="193">
      <c r="A193" s="1" t="s">
        <v>581</v>
      </c>
      <c r="B193" s="2" t="s">
        <v>582</v>
      </c>
      <c r="C193" s="1" t="s">
        <v>7</v>
      </c>
      <c r="D193" s="1" t="s">
        <v>583</v>
      </c>
      <c r="E193" s="3" t="str">
        <f>IFERROR(__xludf.DUMMYFUNCTION("GOOGLETRANSLATE(D193, ""en"", ""zh-tw"")"),"1. 螢幕上的影像非常清晰。 2. 這家公司正在努力改善其公眾形象。 3. 這位藝術家在他的畫作中將這一場景描繪得非常優美。")</f>
        <v>1. 螢幕上的影像非常清晰。 2. 這家公司正在努力改善其公眾形象。 3. 這位藝術家在他的畫作中將這一場景描繪得非常優美。</v>
      </c>
    </row>
    <row r="194">
      <c r="A194" s="1" t="s">
        <v>584</v>
      </c>
      <c r="B194" s="2" t="s">
        <v>585</v>
      </c>
      <c r="C194" s="1" t="s">
        <v>7</v>
      </c>
      <c r="D194" s="1" t="s">
        <v>586</v>
      </c>
      <c r="E194" s="3" t="str">
        <f>IFERROR(__xludf.DUMMYFUNCTION("GOOGLETRANSLATE(D194, ""en"", ""zh-tw"")"),"這位歌手昨晚的表演令人印象深刻。")</f>
        <v>這位歌手昨晚的表演令人印象深刻。</v>
      </c>
    </row>
    <row r="195">
      <c r="A195" s="1" t="s">
        <v>587</v>
      </c>
      <c r="B195" s="2" t="s">
        <v>588</v>
      </c>
      <c r="C195" s="1" t="s">
        <v>7</v>
      </c>
      <c r="D195" s="1" t="s">
        <v>589</v>
      </c>
      <c r="E195" s="3" t="str">
        <f>IFERROR(__xludf.DUMMYFUNCTION("GOOGLETRANSLATE(D195, ""en"", ""zh-tw"")"),"她的健康狀況有了顯著改善。")</f>
        <v>她的健康狀況有了顯著改善。</v>
      </c>
    </row>
    <row r="196">
      <c r="A196" s="1" t="s">
        <v>590</v>
      </c>
      <c r="B196" s="2" t="s">
        <v>591</v>
      </c>
      <c r="C196" s="1" t="s">
        <v>7</v>
      </c>
      <c r="D196" s="1" t="s">
        <v>592</v>
      </c>
      <c r="E196" s="3" t="str">
        <f>IFERROR(__xludf.DUMMYFUNCTION("GOOGLETRANSLATE(D196, ""en"", ""zh-tw"")"),"1. 她確實非常有才華。 2. 的確，那是我一生中最美好的一天。")</f>
        <v>1. 她確實非常有才華。 2. 的確，那是我一生中最美好的一天。</v>
      </c>
    </row>
    <row r="197">
      <c r="A197" s="1" t="s">
        <v>593</v>
      </c>
      <c r="B197" s="2" t="s">
        <v>594</v>
      </c>
      <c r="C197" s="1" t="s">
        <v>7</v>
      </c>
      <c r="D197" s="1" t="s">
        <v>595</v>
      </c>
      <c r="E197" s="3" t="str">
        <f>IFERROR(__xludf.DUMMYFUNCTION("GOOGLETRANSLATE(D197, ""en"", ""zh-tw"")"),"該國於1945年宣布獨立。")</f>
        <v>該國於1945年宣布獨立。</v>
      </c>
    </row>
    <row r="198">
      <c r="A198" s="1" t="s">
        <v>596</v>
      </c>
      <c r="B198" s="2" t="s">
        <v>597</v>
      </c>
      <c r="C198" s="1" t="s">
        <v>7</v>
      </c>
      <c r="D198" s="1" t="s">
        <v>598</v>
      </c>
      <c r="E198" s="3" t="str">
        <f>IFERROR(__xludf.DUMMYFUNCTION("GOOGLETRANSLATE(D198, ""en"", ""zh-tw"")"),"1. 每個學生都有各自的需求。 2. 每個人都應該為自己的行為負責。")</f>
        <v>1. 每個學生都有各自的需求。 2. 每個人都應該為自己的行為負責。</v>
      </c>
    </row>
    <row r="199">
      <c r="A199" s="1" t="s">
        <v>599</v>
      </c>
      <c r="B199" s="2" t="s">
        <v>600</v>
      </c>
      <c r="C199" s="1" t="s">
        <v>7</v>
      </c>
      <c r="D199" s="1" t="s">
        <v>601</v>
      </c>
      <c r="E199" s="3" t="str">
        <f>IFERROR(__xludf.DUMMYFUNCTION("GOOGLETRANSLATE(D199, ""en"", ""zh-tw"")"),"科技業正在快速發展。")</f>
        <v>科技業正在快速發展。</v>
      </c>
    </row>
    <row r="200">
      <c r="A200" s="1" t="s">
        <v>602</v>
      </c>
      <c r="B200" s="2" t="s">
        <v>603</v>
      </c>
      <c r="C200" s="1" t="s">
        <v>7</v>
      </c>
      <c r="D200" s="1" t="s">
        <v>604</v>
      </c>
      <c r="E200" s="3" t="str">
        <f>IFERROR(__xludf.DUMMYFUNCTION("GOOGLETRANSLATE(D200, ""en"", ""zh-tw"")"),"這是團隊合作的一個很好的例子。")</f>
        <v>這是團隊合作的一個很好的例子。</v>
      </c>
    </row>
    <row r="201">
      <c r="A201" s="1" t="s">
        <v>605</v>
      </c>
      <c r="B201" s="2" t="s">
        <v>606</v>
      </c>
      <c r="C201" s="1" t="s">
        <v>17</v>
      </c>
      <c r="D201" s="1" t="s">
        <v>607</v>
      </c>
      <c r="E201" s="3" t="str">
        <f>IFERROR(__xludf.DUMMYFUNCTION("GOOGLETRANSLATE(D201, ""en"", ""zh-tw"")"),"1. 我沒去參加聚會，而是待在家裡看書。 2. 這道菜譜裡用植物油代替奶油。")</f>
        <v>1. 我沒去參加聚會，而是待在家裡看書。 2. 這道菜譜裡用植物油代替奶油。</v>
      </c>
    </row>
    <row r="202">
      <c r="A202" s="1" t="s">
        <v>608</v>
      </c>
      <c r="B202" s="2" t="s">
        <v>609</v>
      </c>
      <c r="C202" s="1" t="s">
        <v>7</v>
      </c>
      <c r="D202" s="1" t="s">
        <v>610</v>
      </c>
      <c r="E202" s="3" t="str">
        <f>IFERROR(__xludf.DUMMYFUNCTION("GOOGLETRANSLATE(D202, ""en"", ""zh-tw"")"),"1. 老師給學生們下了清晰的指示。 2. 請在使用機器前仔細閱讀說明書。 3. 法官向陪審團下達了指示。")</f>
        <v>1. 老師給學生們下了清晰的指示。 2. 請在使用機器前仔細閱讀說明書。 3. 法官向陪審團下達了指示。</v>
      </c>
    </row>
    <row r="203">
      <c r="A203" s="1" t="s">
        <v>611</v>
      </c>
      <c r="B203" s="2" t="s">
        <v>612</v>
      </c>
      <c r="C203" s="1" t="s">
        <v>7</v>
      </c>
      <c r="D203" s="1" t="s">
        <v>613</v>
      </c>
      <c r="E203" s="3" t="str">
        <f>IFERROR(__xludf.DUMMYFUNCTION("GOOGLETRANSLATE(D203, ""en"", ""zh-tw"")"),"1. 公司面臨一些內部問題。 2. 她對自己的決定感到內心掙扎。 3. 他在事故中遭受了內傷。")</f>
        <v>1. 公司面臨一些內部問題。 2. 她對自己的決定感到內心掙扎。 3. 他在事故中遭受了內傷。</v>
      </c>
    </row>
    <row r="204">
      <c r="A204" s="1" t="s">
        <v>614</v>
      </c>
      <c r="B204" s="2" t="s">
        <v>615</v>
      </c>
      <c r="C204" s="1" t="s">
        <v>17</v>
      </c>
      <c r="D204" s="1" t="s">
        <v>616</v>
      </c>
      <c r="E204" s="3" t="str">
        <f>IFERROR(__xludf.DUMMYFUNCTION("GOOGLETRANSLATE(D204, ""en"", ""zh-tw"")"),"網路幫助我們快速找到資訊。")</f>
        <v>網路幫助我們快速找到資訊。</v>
      </c>
    </row>
    <row r="205">
      <c r="A205" s="1" t="s">
        <v>617</v>
      </c>
      <c r="B205" s="2" t="s">
        <v>618</v>
      </c>
      <c r="C205" s="1" t="s">
        <v>7</v>
      </c>
      <c r="D205" s="1" t="s">
        <v>619</v>
      </c>
      <c r="E205" s="3" t="str">
        <f>IFERROR(__xludf.DUMMYFUNCTION("GOOGLETRANSLATE(D205, ""en"", ""zh-tw"")"),"1. 讓我來介紹一下我們團隊的新成員。 2. 本書的引言部分闡述了主要內容。 3. 新技術的引進提高了生產力。 4. 這是一門程式設計入門課程。")</f>
        <v>1. 讓我來介紹一下我們團隊的新成員。 2. 本書的引言部分闡述了主要內容。 3. 新技術的引進提高了生產力。 4. 這是一門程式設計入門課程。</v>
      </c>
    </row>
    <row r="206">
      <c r="A206" s="1" t="s">
        <v>620</v>
      </c>
      <c r="B206" s="2" t="s">
        <v>621</v>
      </c>
      <c r="C206" s="1" t="s">
        <v>17</v>
      </c>
      <c r="D206" s="1" t="s">
        <v>622</v>
      </c>
      <c r="E206" s="3" t="str">
        <f>IFERROR(__xludf.DUMMYFUNCTION("GOOGLETRANSLATE(D206, ""en"", ""zh-tw"")"),"1. 我每天早上慢跑以保持健康。 2. 她提醒了我關於會議的事。 3. 在公園慢跑很放鬆。")</f>
        <v>1. 我每天早上慢跑以保持健康。 2. 她提醒了我關於會議的事。 3. 在公園慢跑很放鬆。</v>
      </c>
    </row>
    <row r="207">
      <c r="A207" s="1" t="s">
        <v>623</v>
      </c>
      <c r="B207" s="2" t="s">
        <v>624</v>
      </c>
      <c r="C207" s="1" t="s">
        <v>7</v>
      </c>
      <c r="D207" s="1" t="s">
        <v>625</v>
      </c>
      <c r="E207" s="3" t="str">
        <f>IFERROR(__xludf.DUMMYFUNCTION("GOOGLETRANSLATE(D207, ""en"", ""zh-tw"")"),"1. 他們共同決定創業。 2. 我跑步後膝關節疼痛。")</f>
        <v>1. 他們共同決定創業。 2. 我跑步後膝關節疼痛。</v>
      </c>
    </row>
    <row r="208">
      <c r="A208" s="1" t="s">
        <v>626</v>
      </c>
      <c r="B208" s="2" t="s">
        <v>627</v>
      </c>
      <c r="C208" s="1" t="s">
        <v>7</v>
      </c>
      <c r="D208" s="1" t="s">
        <v>628</v>
      </c>
      <c r="E208" s="3" t="str">
        <f>IFERROR(__xludf.DUMMYFUNCTION("GOOGLETRANSLATE(D208, ""en"", ""zh-tw"")"),"該研究成果發表在科學期刊。")</f>
        <v>該研究成果發表在科學期刊。</v>
      </c>
    </row>
    <row r="209">
      <c r="A209" s="1" t="s">
        <v>629</v>
      </c>
      <c r="B209" s="2" t="s">
        <v>630</v>
      </c>
      <c r="C209" s="1" t="s">
        <v>279</v>
      </c>
      <c r="D209" s="1" t="s">
        <v>631</v>
      </c>
      <c r="E209" s="3" t="str">
        <f>IFERROR(__xludf.DUMMYFUNCTION("GOOGLETRANSLATE(D209, ""en"", ""zh-tw"")"),"1. 她在處理這個問題上表現出了良好的判斷力。 2. 法院的判決對被告有利。 3. 我認為這是最佳選擇。")</f>
        <v>1. 她在處理這個問題上表現出了良好的判斷力。 2. 法院的判決對被告有利。 3. 我認為這是最佳選擇。</v>
      </c>
    </row>
    <row r="210">
      <c r="A210" s="1" t="s">
        <v>632</v>
      </c>
      <c r="B210" s="2" t="s">
        <v>633</v>
      </c>
      <c r="C210" s="1" t="s">
        <v>279</v>
      </c>
      <c r="D210" s="1" t="s">
        <v>634</v>
      </c>
      <c r="E210" s="3" t="str">
        <f>IFERROR(__xludf.DUMMYFUNCTION("GOOGLETRANSLATE(D210, ""en"", ""zh-tw"")"),"1. 無論出身如何，人人都應享有公正。 2. 司法系統旨在保護公民權利。 3. 法官在​​法庭上伸張了正義。")</f>
        <v>1. 無論出身如何，人人都應享有公正。 2. 司法系統旨在保護公民權利。 3. 法官在​​法庭上伸張了正義。</v>
      </c>
    </row>
    <row r="211">
      <c r="A211" s="1" t="s">
        <v>635</v>
      </c>
      <c r="B211" s="2" t="s">
        <v>636</v>
      </c>
      <c r="C211" s="1" t="s">
        <v>17</v>
      </c>
      <c r="D211" s="1" t="s">
        <v>637</v>
      </c>
      <c r="E211" s="3" t="str">
        <f>IFERROR(__xludf.DUMMYFUNCTION("GOOGLETRANSLATE(D211, ""en"", ""zh-tw"")"),"1. 動物園管理員負責照顧動物。 2. 他是古代手稿的保管人。")</f>
        <v>1. 動物園管理員負責照顧動物。 2. 他是古代手稿的保管人。</v>
      </c>
    </row>
    <row r="212">
      <c r="A212" s="1" t="s">
        <v>638</v>
      </c>
      <c r="B212" s="2" t="s">
        <v>639</v>
      </c>
      <c r="C212" s="1" t="s">
        <v>17</v>
      </c>
      <c r="D212" s="1" t="s">
        <v>640</v>
      </c>
      <c r="E212" s="3" t="str">
        <f>IFERROR(__xludf.DUMMYFUNCTION("GOOGLETRANSLATE(D212, ""en"", ""zh-tw"")"),"孩子們喜歡在花園裡捉瓢蟲。")</f>
        <v>孩子們喜歡在花園裡捉瓢蟲。</v>
      </c>
    </row>
    <row r="213">
      <c r="A213" s="1" t="s">
        <v>641</v>
      </c>
      <c r="B213" s="2" t="s">
        <v>642</v>
      </c>
      <c r="C213" s="1" t="s">
        <v>17</v>
      </c>
      <c r="D213" s="1" t="s">
        <v>643</v>
      </c>
      <c r="E213" s="3" t="str">
        <f>IFERROR(__xludf.DUMMYFUNCTION("GOOGLETRANSLATE(D213, ""en"", ""zh-tw"")"),"1. 開車時請保持在自己的車道內。 2. 他們住在主街後面一條安靜的小巷子裡。")</f>
        <v>1. 開車時請保持在自己的車道內。 2. 他們住在主街後面一條安靜的小巷子裡。</v>
      </c>
    </row>
    <row r="214">
      <c r="A214" s="1" t="s">
        <v>644</v>
      </c>
      <c r="B214" s="2" t="s">
        <v>645</v>
      </c>
      <c r="C214" s="1" t="s">
        <v>17</v>
      </c>
      <c r="D214" s="1" t="s">
        <v>646</v>
      </c>
      <c r="E214" s="3" t="str">
        <f>IFERROR(__xludf.DUMMYFUNCTION("GOOGLETRANSLATE(D214, ""en"", ""zh-tw"")"),"1. 她把嬰兒放在腿上。 2. 他很快就跑完了比賽的第一圈。 3. 狗舔著碗裡的水。 4. 海浪輕輕地拍打著海岸。 5. 這位跑者在終點線前套圈了對手兩圈。")</f>
        <v>1. 她把嬰兒放在腿上。 2. 他很快就跑完了比賽的第一圈。 3. 狗舔著碗裡的水。 4. 海浪輕輕地拍打著海岸。 5. 這位跑者在終點線前套圈了對手兩圈。</v>
      </c>
    </row>
    <row r="215">
      <c r="A215" s="1" t="s">
        <v>647</v>
      </c>
      <c r="B215" s="2" t="s">
        <v>648</v>
      </c>
      <c r="C215" s="1" t="s">
        <v>279</v>
      </c>
      <c r="D215" s="1" t="s">
        <v>649</v>
      </c>
      <c r="E215" s="3" t="str">
        <f>IFERROR(__xludf.DUMMYFUNCTION("GOOGLETRANSLATE(D215, ""en"", ""zh-tw"")"),"1. 優秀的領導力是團隊成功的關鍵。 2. 她在公司擔任了領導職務。")</f>
        <v>1. 優秀的領導力是團隊成功的關鍵。 2. 她在公司擔任了領導職務。</v>
      </c>
    </row>
    <row r="216">
      <c r="A216" s="1" t="s">
        <v>650</v>
      </c>
      <c r="B216" s="2" t="s">
        <v>651</v>
      </c>
      <c r="C216" s="1" t="s">
        <v>279</v>
      </c>
      <c r="D216" s="1" t="s">
        <v>652</v>
      </c>
      <c r="E216" s="3" t="str">
        <f>IFERROR(__xludf.DUMMYFUNCTION("GOOGLETRANSLATE(D216, ""en"", ""zh-tw"")"),"1. 他們正在向律師尋求法律建議。 2. 吸煙僅在指定區域合法。")</f>
        <v>1. 他們正在向律師尋求法律建議。 2. 吸煙僅在指定區域合法。</v>
      </c>
    </row>
    <row r="217">
      <c r="A217" s="1" t="s">
        <v>653</v>
      </c>
      <c r="B217" s="2" t="s">
        <v>654</v>
      </c>
      <c r="C217" s="1" t="s">
        <v>17</v>
      </c>
      <c r="D217" s="1" t="s">
        <v>655</v>
      </c>
      <c r="E217" s="3" t="str">
        <f>IFERROR(__xludf.DUMMYFUNCTION("GOOGLETRANSLATE(D217, ""en"", ""zh-tw"")"),"1. 這張桌子的長度是兩公尺。 2. 這部電影的片長大約是兩個小時。")</f>
        <v>1. 這張桌子的長度是兩公尺。 2. 這部電影的片長大約是兩個小時。</v>
      </c>
    </row>
    <row r="218">
      <c r="A218" s="1" t="s">
        <v>656</v>
      </c>
      <c r="B218" s="2" t="s">
        <v>657</v>
      </c>
      <c r="C218" s="1" t="s">
        <v>7</v>
      </c>
      <c r="D218" s="1" t="s">
        <v>658</v>
      </c>
      <c r="E218" s="3" t="str">
        <f>IFERROR(__xludf.DUMMYFUNCTION("GOOGLETRANSLATE(D218, ""en"", ""zh-tw"")"),"拍照前我需要清潔相機鏡頭。")</f>
        <v>拍照前我需要清潔相機鏡頭。</v>
      </c>
    </row>
    <row r="219">
      <c r="A219" s="1" t="s">
        <v>659</v>
      </c>
      <c r="B219" s="2" t="s">
        <v>660</v>
      </c>
      <c r="C219" s="1" t="s">
        <v>279</v>
      </c>
      <c r="D219" s="1" t="s">
        <v>661</v>
      </c>
      <c r="E219" s="3" t="str">
        <f>IFERROR(__xludf.DUMMYFUNCTION("GOOGLETRANSLATE(D219, ""en"", ""zh-tw"")"),"1. 她對教育持開放態度。 2. 政府採取了開放政策來鼓勵經濟成長。 3. 他非常慷慨地支配自己的時間和金錢。 4. 許多自由主義者倡導社會正義。")</f>
        <v>1. 她對教育持開放態度。 2. 政府採取了開放政策來鼓勵經濟成長。 3. 他非常慷慨地支配自己的時間和金錢。 4. 許多自由主義者倡導社會正義。</v>
      </c>
    </row>
    <row r="220">
      <c r="A220" s="1" t="s">
        <v>662</v>
      </c>
      <c r="B220" s="2" t="s">
        <v>663</v>
      </c>
      <c r="C220" s="1" t="s">
        <v>17</v>
      </c>
      <c r="D220" s="1" t="s">
        <v>664</v>
      </c>
      <c r="E220" s="3" t="str">
        <f>IFERROR(__xludf.DUMMYFUNCTION("GOOGLETRANSLATE(D220, ""en"", ""zh-tw"")"),"好的傾聽者能讓人感到自在。")</f>
        <v>好的傾聽者能讓人感到自在。</v>
      </c>
    </row>
    <row r="221">
      <c r="A221" s="1" t="s">
        <v>665</v>
      </c>
      <c r="B221" s="2" t="s">
        <v>666</v>
      </c>
      <c r="C221" s="1" t="s">
        <v>17</v>
      </c>
      <c r="D221" s="1" t="s">
        <v>667</v>
      </c>
      <c r="E221" s="3" t="str">
        <f>IFERROR(__xludf.DUMMYFUNCTION("GOOGLETRANSLATE(D221, ""en"", ""zh-tw"")"),"肝臟有助於血液解毒。")</f>
        <v>肝臟有助於血液解毒。</v>
      </c>
    </row>
    <row r="222">
      <c r="A222" s="1" t="s">
        <v>668</v>
      </c>
      <c r="B222" s="2" t="s">
        <v>669</v>
      </c>
      <c r="C222" s="1" t="s">
        <v>7</v>
      </c>
      <c r="D222" s="1" t="s">
        <v>670</v>
      </c>
      <c r="E222" s="3" t="str">
        <f>IFERROR(__xludf.DUMMYFUNCTION("GOOGLETRANSLATE(D222, ""en"", ""zh-tw"")"),"1. 這輛卡車運載了大量的磚塊。 2. 我這週工作量很大。 3. 他們把箱子裝上了卡車。")</f>
        <v>1. 這輛卡車運載了大量的磚塊。 2. 我這週工作量很大。 3. 他們把箱子裝上了卡車。</v>
      </c>
    </row>
    <row r="223">
      <c r="A223" s="1" t="s">
        <v>671</v>
      </c>
      <c r="B223" s="2" t="s">
        <v>672</v>
      </c>
      <c r="C223" s="1" t="s">
        <v>7</v>
      </c>
      <c r="D223" s="1" t="s">
        <v>673</v>
      </c>
      <c r="E223" s="3" t="str">
        <f>IFERROR(__xludf.DUMMYFUNCTION("GOOGLETRANSLATE(D223, ""en"", ""zh-tw"")"),"她獨自決定出國旅行。")</f>
        <v>她獨自決定出國旅行。</v>
      </c>
    </row>
    <row r="224">
      <c r="A224" s="1" t="s">
        <v>674</v>
      </c>
      <c r="B224" s="2" t="s">
        <v>675</v>
      </c>
      <c r="C224" s="1" t="s">
        <v>7</v>
      </c>
      <c r="D224" s="1" t="s">
        <v>676</v>
      </c>
      <c r="E224" s="3" t="str">
        <f>IFERROR(__xludf.DUMMYFUNCTION("GOOGLETRANSLATE(D224, ""en"", ""zh-tw"")"),"1. 他仍在為父親的死而悲痛。 2. 該公司去年獲利下滑。")</f>
        <v>1. 他仍在為父親的死而悲痛。 2. 該公司去年獲利下滑。</v>
      </c>
    </row>
    <row r="225">
      <c r="A225" s="1" t="s">
        <v>677</v>
      </c>
      <c r="B225" s="2" t="s">
        <v>678</v>
      </c>
      <c r="C225" s="1" t="s">
        <v>17</v>
      </c>
      <c r="D225" s="1" t="s">
        <v>679</v>
      </c>
      <c r="E225" s="3" t="str">
        <f>IFERROR(__xludf.DUMMYFUNCTION("GOOGLETRANSLATE(D225, ""en"", ""zh-tw"")"),"1. 下層架子是放書的。 2. 請降低音量。 3. 公司決定降價以吸引顧客。 4. 兩個抽屜中下面的卡住了。")</f>
        <v>1. 下層架子是放書的。 2. 請降低音量。 3. 公司決定降價以吸引顧客。 4. 兩個抽屜中下面的卡住了。</v>
      </c>
    </row>
    <row r="226">
      <c r="A226" s="1" t="s">
        <v>680</v>
      </c>
      <c r="B226" s="2" t="s">
        <v>681</v>
      </c>
      <c r="C226" s="1" t="s">
        <v>17</v>
      </c>
      <c r="D226" s="1" t="s">
        <v>682</v>
      </c>
      <c r="E226" s="3" t="str">
        <f>IFERROR(__xludf.DUMMYFUNCTION("GOOGLETRANSLATE(D226, ""en"", ""zh-tw"")"),"1. 有時運氣在成功中扮演著重要角色。 2. 他很幸運，很快就找到了一份工作。")</f>
        <v>1. 有時運氣在成功中扮演著重要角色。 2. 他很幸運，很快就找到了一份工作。</v>
      </c>
    </row>
    <row r="227">
      <c r="A227" s="1" t="s">
        <v>683</v>
      </c>
      <c r="B227" s="2" t="s">
        <v>684</v>
      </c>
      <c r="C227" s="1" t="s">
        <v>7</v>
      </c>
      <c r="D227" s="1" t="s">
        <v>685</v>
      </c>
      <c r="E227" s="3" t="str">
        <f>IFERROR(__xludf.DUMMYFUNCTION("GOOGLETRANSLATE(D227, ""en"", ""zh-tw"")"),"1. 保持健康的生活方式很重要。 2. 該公司定期維護設備。 3. 她堅稱自己當時不在現場。")</f>
        <v>1. 保持健康的生活方式很重要。 2. 該公司定期維護設備。 3. 她堅稱自己當時不在現場。</v>
      </c>
    </row>
    <row r="228">
      <c r="A228" s="1" t="s">
        <v>686</v>
      </c>
      <c r="B228" s="2" t="s">
        <v>687</v>
      </c>
      <c r="C228" s="1" t="s">
        <v>7</v>
      </c>
      <c r="D228" s="1" t="s">
        <v>688</v>
      </c>
      <c r="E228" s="3" t="str">
        <f>IFERROR(__xludf.DUMMYFUNCTION("GOOGLETRANSLATE(D228, ""en"", ""zh-tw"")"),"1. 良好的管理是企業成功的關鍵。 2. 管理階層決定提高薪資。 3. 時間管理對學生來說很重要。")</f>
        <v>1. 良好的管理是企業成功的關鍵。 2. 管理階層決定提高薪資。 3. 時間管理對學生來說很重要。</v>
      </c>
    </row>
    <row r="229">
      <c r="A229" s="1" t="s">
        <v>689</v>
      </c>
      <c r="B229" s="2" t="s">
        <v>690</v>
      </c>
      <c r="C229" s="1" t="s">
        <v>17</v>
      </c>
      <c r="D229" s="1" t="s">
        <v>691</v>
      </c>
      <c r="E229" s="3" t="str">
        <f>IFERROR(__xludf.DUMMYFUNCTION("GOOGLETRANSLATE(D229, ""en"", ""zh-tw"")"),"他們的婚姻持續了20年。")</f>
        <v>他們的婚姻持續了20年。</v>
      </c>
    </row>
    <row r="230">
      <c r="A230" s="1" t="s">
        <v>692</v>
      </c>
      <c r="B230" s="2" t="s">
        <v>693</v>
      </c>
      <c r="C230" s="1" t="s">
        <v>17</v>
      </c>
      <c r="D230" s="1" t="s">
        <v>694</v>
      </c>
      <c r="E230" s="3" t="str">
        <f>IFERROR(__xludf.DUMMYFUNCTION("GOOGLETRANSLATE(D230, ""en"", ""zh-tw"")"),"1. 他是我從小到大的摯友。 2. 這隻鳥在春天找到了它的伴侶。 3. 這些動物在春天交配。")</f>
        <v>1. 他是我從小到大的摯友。 2. 這隻鳥在春天找到了它的伴侶。 3. 這些動物在春天交配。</v>
      </c>
    </row>
    <row r="231">
      <c r="A231" s="1" t="s">
        <v>695</v>
      </c>
      <c r="B231" s="2" t="s">
        <v>696</v>
      </c>
      <c r="C231" s="1" t="s">
        <v>7</v>
      </c>
      <c r="D231" s="1" t="s">
        <v>697</v>
      </c>
      <c r="E231" s="3" t="str">
        <f>IFERROR(__xludf.DUMMYFUNCTION("GOOGLETRANSLATE(D231, ""en"", ""zh-tw"")"),"1. 這件連身裙由優質面料製成。 2. 物證對案件至關重要。")</f>
        <v>1. 這件連身裙由優質面料製成。 2. 物證對案件至關重要。</v>
      </c>
    </row>
    <row r="232">
      <c r="A232" s="1" t="s">
        <v>698</v>
      </c>
      <c r="B232" s="2" t="s">
        <v>699</v>
      </c>
      <c r="C232" s="1" t="s">
        <v>7</v>
      </c>
      <c r="D232" s="1" t="s">
        <v>700</v>
      </c>
      <c r="E232" s="3" t="str">
        <f>IFERROR(__xludf.DUMMYFUNCTION("GOOGLETRANSLATE(D232, ""en"", ""zh-tw"")"),"1. 她年紀雖小，但非常成熟。 2. 這些水果需要幾天才能成熟。 3. 這項投資將在五年後到期。")</f>
        <v>1. 她年紀雖小，但非常成熟。 2. 這些水果需要幾天才能成熟。 3. 這項投資將在五年後到期。</v>
      </c>
    </row>
    <row r="233">
      <c r="A233" s="1" t="s">
        <v>701</v>
      </c>
      <c r="B233" s="2" t="s">
        <v>702</v>
      </c>
      <c r="C233" s="1" t="s">
        <v>7</v>
      </c>
      <c r="D233" s="1" t="s">
        <v>703</v>
      </c>
      <c r="E233" s="3" t="str">
        <f>IFERROR(__xludf.DUMMYFUNCTION("GOOGLETRANSLATE(D233, ""en"", ""zh-tw"")"),"1. 教育是通往成功的途徑。 2. 我們必須找到溝通的途徑。")</f>
        <v>1. 教育是通往成功的途徑。 2. 我們必須找到溝通的途徑。</v>
      </c>
    </row>
    <row r="234">
      <c r="A234" s="1" t="s">
        <v>704</v>
      </c>
      <c r="B234" s="2" t="s">
        <v>705</v>
      </c>
      <c r="C234" s="1" t="s">
        <v>7</v>
      </c>
      <c r="D234" s="1" t="s">
        <v>706</v>
      </c>
      <c r="E234" s="3" t="str">
        <f>IFERROR(__xludf.DUMMYFUNCTION("GOOGLETRANSLATE(D234, ""en"", ""zh-tw"")"),"1. 精確測量在科學中至關重要。 2. 她的腰圍是65公分。 3. 購買家具前要先測量房間尺寸。")</f>
        <v>1. 精確測量在科學中至關重要。 2. 她的腰圍是65公分。 3. 購買家具前要先測量房間尺寸。</v>
      </c>
    </row>
    <row r="235">
      <c r="A235" s="1" t="s">
        <v>707</v>
      </c>
      <c r="B235" s="2" t="s">
        <v>708</v>
      </c>
      <c r="C235" s="1" t="s">
        <v>7</v>
      </c>
      <c r="D235" s="1" t="s">
        <v>709</v>
      </c>
      <c r="E235" s="3" t="str">
        <f>IFERROR(__xludf.DUMMYFUNCTION("GOOGLETRANSLATE(D235, ""en"", ""zh-tw"")"),"她需要立即就醫。")</f>
        <v>她需要立即就醫。</v>
      </c>
    </row>
    <row r="236">
      <c r="A236" s="1" t="s">
        <v>710</v>
      </c>
      <c r="B236" s="2" t="s">
        <v>711</v>
      </c>
      <c r="C236" s="1" t="s">
        <v>7</v>
      </c>
      <c r="D236" s="1" t="s">
        <v>712</v>
      </c>
      <c r="E236" s="3" t="str">
        <f>IFERROR(__xludf.DUMMYFUNCTION("GOOGLETRANSLATE(D236, ""en"", ""zh-tw"")"),"這首歌旋律優美。")</f>
        <v>這首歌旋律優美。</v>
      </c>
    </row>
    <row r="237">
      <c r="A237" s="1" t="s">
        <v>713</v>
      </c>
      <c r="B237" s="2" t="s">
        <v>714</v>
      </c>
      <c r="C237" s="1" t="s">
        <v>7</v>
      </c>
      <c r="D237" s="1" t="s">
        <v>715</v>
      </c>
      <c r="E237" s="3" t="str">
        <f>IFERROR(__xludf.DUMMYFUNCTION("GOOGLETRANSLATE(D237, ""en"", ""zh-tw"")"),"她申請了健身房會員卡。")</f>
        <v>她申請了健身房會員卡。</v>
      </c>
    </row>
    <row r="238">
      <c r="A238" s="1" t="s">
        <v>716</v>
      </c>
      <c r="B238" s="2" t="s">
        <v>717</v>
      </c>
      <c r="C238" s="1" t="s">
        <v>7</v>
      </c>
      <c r="D238" s="1" t="s">
        <v>718</v>
      </c>
      <c r="E238" s="3" t="str">
        <f>IFERROR(__xludf.DUMMYFUNCTION("GOOGLETRANSLATE(D238, ""en"", ""zh-tw"")"),"1. 他沒有提到聚會的事。 2. 她的名字在演講中被特別提及。")</f>
        <v>1. 他沒有提到聚會的事。 2. 她的名字在演講中被特別提及。</v>
      </c>
    </row>
    <row r="239">
      <c r="A239" s="1" t="s">
        <v>719</v>
      </c>
      <c r="B239" s="2" t="s">
        <v>720</v>
      </c>
      <c r="C239" s="1" t="s">
        <v>7</v>
      </c>
      <c r="D239" s="1" t="s">
        <v>721</v>
      </c>
      <c r="E239" s="3" t="str">
        <f>IFERROR(__xludf.DUMMYFUNCTION("GOOGLETRANSLATE(D239, ""en"", ""zh-tw"")"),"1. 他們對叛軍採取了軍事行動。 2. 軍方正在為可能發生的攻擊做準備。")</f>
        <v>1. 他們對叛軍採取了軍事行動。 2. 軍方正在為可能發生的攻擊做準備。</v>
      </c>
    </row>
    <row r="240">
      <c r="A240" s="1" t="s">
        <v>722</v>
      </c>
      <c r="B240" s="2" t="s">
        <v>723</v>
      </c>
      <c r="C240" s="1" t="s">
        <v>279</v>
      </c>
      <c r="D240" s="1" t="s">
        <v>724</v>
      </c>
      <c r="E240" s="3" t="str">
        <f>IFERROR(__xludf.DUMMYFUNCTION("GOOGLETRANSLATE(D240, ""en"", ""zh-tw"")"),"少數學生喜歡線上課程而不是面授課程。")</f>
        <v>少數學生喜歡線上課程而不是面授課程。</v>
      </c>
    </row>
    <row r="241">
      <c r="A241" s="1" t="s">
        <v>725</v>
      </c>
      <c r="B241" s="2" t="s">
        <v>726</v>
      </c>
      <c r="C241" s="1" t="s">
        <v>7</v>
      </c>
      <c r="D241" s="1" t="s">
        <v>727</v>
      </c>
      <c r="E241" s="3" t="str">
        <f>IFERROR(__xludf.DUMMYFUNCTION("GOOGLETRANSLATE(D241, ""en"", ""zh-tw"")"),"蛋糕糊是由麵粉、雞蛋和糖混合而成的。")</f>
        <v>蛋糕糊是由麵粉、雞蛋和糖混合而成的。</v>
      </c>
    </row>
    <row r="242">
      <c r="A242" s="1" t="s">
        <v>728</v>
      </c>
      <c r="B242" s="2" t="s">
        <v>729</v>
      </c>
      <c r="C242" s="1" t="s">
        <v>17</v>
      </c>
      <c r="D242" s="1" t="s">
        <v>730</v>
      </c>
      <c r="E242" s="3" t="str">
        <f>IFERROR(__xludf.DUMMYFUNCTION("GOOGLETRANSLATE(D242, ""en"", ""zh-tw"")"),"她今天心情很好，因為她找到工作了。")</f>
        <v>她今天心情很好，因為她找到工作了。</v>
      </c>
    </row>
    <row r="243">
      <c r="A243" s="1" t="s">
        <v>731</v>
      </c>
      <c r="B243" s="2" t="s">
        <v>732</v>
      </c>
      <c r="C243" s="1" t="s">
        <v>17</v>
      </c>
      <c r="D243" s="1" t="s">
        <v>733</v>
      </c>
      <c r="E243" s="3" t="str">
        <f>IFERROR(__xludf.DUMMYFUNCTION("GOOGLETRANSLATE(D243, ""en"", ""zh-tw"")"),"她買了一個印有貓咪圖案的可愛馬克杯。")</f>
        <v>她買了一個印有貓咪圖案的可愛馬克杯。</v>
      </c>
    </row>
    <row r="244">
      <c r="A244" s="1" t="s">
        <v>734</v>
      </c>
      <c r="B244" s="2" t="s">
        <v>735</v>
      </c>
      <c r="C244" s="1" t="s">
        <v>17</v>
      </c>
      <c r="D244" s="1" t="s">
        <v>736</v>
      </c>
      <c r="E244" s="3" t="str">
        <f>IFERROR(__xludf.DUMMYFUNCTION("GOOGLETRANSLATE(D244, ""en"", ""zh-tw"")"),"1. 她的嗓音非常動聽。 2. 我們昨晚去看了一部著名的音樂劇。")</f>
        <v>1. 她的嗓音非常動聽。 2. 我們昨晚去看了一部著名的音樂劇。</v>
      </c>
    </row>
    <row r="245">
      <c r="A245" s="1" t="s">
        <v>737</v>
      </c>
      <c r="B245" s="2" t="s">
        <v>738</v>
      </c>
      <c r="C245" s="1" t="s">
        <v>17</v>
      </c>
      <c r="D245" s="1" t="s">
        <v>739</v>
      </c>
      <c r="E245" s="3" t="str">
        <f>IFERROR(__xludf.DUMMYFUNCTION("GOOGLETRANSLATE(D245, ""en"", ""zh-tw"")"),"1. 附近有一家超市，我們可以去那裡買菜。 2. 她住在附近，所以我們常常一起喝咖啡。")</f>
        <v>1. 附近有一家超市，我們可以去那裡買菜。 2. 她住在附近，所以我們常常一起喝咖啡。</v>
      </c>
    </row>
    <row r="246">
      <c r="A246" s="1" t="s">
        <v>740</v>
      </c>
      <c r="B246" s="2" t="s">
        <v>741</v>
      </c>
      <c r="C246" s="1" t="s">
        <v>7</v>
      </c>
      <c r="D246" s="1" t="s">
        <v>742</v>
      </c>
      <c r="E246" s="3" t="str">
        <f>IFERROR(__xludf.DUMMYFUNCTION("GOOGLETRANSLATE(D246, ""en"", ""zh-tw"")"),"1. 醫生解釋了神經如何將訊號傳遞到大腦。 2. 他在會議上發言需要很大的勇氣。")</f>
        <v>1. 醫生解釋了神經如何將訊號傳遞到大腦。 2. 他在會議上發言需要很大的勇氣。</v>
      </c>
    </row>
    <row r="247">
      <c r="A247" s="1" t="s">
        <v>743</v>
      </c>
      <c r="B247" s="2" t="s">
        <v>744</v>
      </c>
      <c r="C247" s="1" t="s">
        <v>7</v>
      </c>
      <c r="D247" s="1" t="s">
        <v>745</v>
      </c>
      <c r="E247" s="3" t="str">
        <f>IFERROR(__xludf.DUMMYFUNCTION("GOOGLETRANSLATE(D247, ""en"", ""zh-tw"")"),"1. 網路是一個連接數百萬台電腦的全球網路。 2. 她定期參加會議，與業內專業人士建立聯繫。")</f>
        <v>1. 網路是一個連接數百萬台電腦的全球網路。 2. 她定期參加會議，與業內專業人士建立聯繫。</v>
      </c>
    </row>
    <row r="248">
      <c r="A248" s="1" t="s">
        <v>746</v>
      </c>
      <c r="B248" s="2" t="s">
        <v>747</v>
      </c>
      <c r="C248" s="1" t="s">
        <v>17</v>
      </c>
      <c r="D248" s="1" t="s">
        <v>748</v>
      </c>
      <c r="E248" s="3" t="str">
        <f>IFERROR(__xludf.DUMMYFUNCTION("GOOGLETRANSLATE(D248, ""en"", ""zh-tw"")"),"他們遊歷了該國北部地區。")</f>
        <v>他們遊歷了該國北部地區。</v>
      </c>
    </row>
    <row r="249">
      <c r="A249" s="1" t="s">
        <v>749</v>
      </c>
      <c r="B249" s="2" t="s">
        <v>750</v>
      </c>
      <c r="C249" s="1" t="s">
        <v>7</v>
      </c>
      <c r="D249" s="1" t="s">
        <v>751</v>
      </c>
      <c r="E249" s="3" t="str">
        <f>IFERROR(__xludf.DUMMYFUNCTION("GOOGLETRANSLATE(D249, ""en"", ""zh-tw"")"),"很明顯，她有心事。")</f>
        <v>很明顯，她有心事。</v>
      </c>
    </row>
    <row r="250">
      <c r="A250" s="1" t="s">
        <v>752</v>
      </c>
      <c r="B250" s="2" t="s">
        <v>753</v>
      </c>
      <c r="C250" s="1" t="s">
        <v>7</v>
      </c>
      <c r="D250" s="1" t="s">
        <v>754</v>
      </c>
      <c r="E250" s="3" t="str">
        <f>IFERROR(__xludf.DUMMYFUNCTION("GOOGLETRANSLATE(D250, ""en"", ""zh-tw"")"),"1. 事故發生在昨晚深夜。 2. 我當時根本沒想到她可能會說謊。")</f>
        <v>1. 事故發生在昨晚深夜。 2. 我當時根本沒想到她可能會說謊。</v>
      </c>
    </row>
    <row r="251">
      <c r="A251" s="1" t="s">
        <v>755</v>
      </c>
      <c r="B251" s="2" t="s">
        <v>756</v>
      </c>
      <c r="C251" s="1" t="s">
        <v>7</v>
      </c>
      <c r="D251" s="1" t="s">
        <v>757</v>
      </c>
      <c r="E251" s="3" t="str">
        <f>IFERROR(__xludf.DUMMYFUNCTION("GOOGLETRANSLATE(D251, ""en"", ""zh-tw"")"),"1. 官方聲明於今天上午發布。 2. 一位政府官員昨天視察了災區。")</f>
        <v>1. 官方聲明於今天上午發布。 2. 一位政府官員昨天視察了災區。</v>
      </c>
    </row>
    <row r="252">
      <c r="A252" s="1" t="s">
        <v>758</v>
      </c>
      <c r="B252" s="2" t="s">
        <v>759</v>
      </c>
      <c r="C252" s="1" t="s">
        <v>7</v>
      </c>
      <c r="D252" s="1" t="s">
        <v>760</v>
      </c>
      <c r="E252" s="3" t="str">
        <f>IFERROR(__xludf.DUMMYFUNCTION("GOOGLETRANSLATE(D252, ""en"", ""zh-tw"")"),"1. 該公司業務遍及20多個國家。 2. 他懂得如何操作重型機械。")</f>
        <v>1. 該公司業務遍及20多個國家。 2. 他懂得如何操作重型機械。</v>
      </c>
    </row>
    <row r="253">
      <c r="A253" s="1" t="s">
        <v>761</v>
      </c>
      <c r="B253" s="2" t="s">
        <v>762</v>
      </c>
      <c r="C253" s="1" t="s">
        <v>7</v>
      </c>
      <c r="D253" s="1" t="s">
        <v>763</v>
      </c>
      <c r="E253" s="3" t="str">
        <f>IFERROR(__xludf.DUMMYFUNCTION("GOOGLETRANSLATE(D253, ""en"", ""zh-tw"")"),"1. 機器停止運轉是因為操作員操作失誤。 2. 她在1980年代當過電話接線員。 3. 旅行社為我們的旅行安排好了一切。")</f>
        <v>1. 機器停止運轉是因為操作員操作失誤。 2. 她在1980年代當過電話接線員。 3. 旅行社為我們的旅行安排好了一切。</v>
      </c>
    </row>
    <row r="254">
      <c r="A254" s="1" t="s">
        <v>764</v>
      </c>
      <c r="B254" s="2" t="s">
        <v>765</v>
      </c>
      <c r="C254" s="1" t="s">
        <v>7</v>
      </c>
      <c r="D254" s="1" t="s">
        <v>766</v>
      </c>
      <c r="E254" s="3" t="str">
        <f>IFERROR(__xludf.DUMMYFUNCTION("GOOGLETRANSLATE(D254, ""en"", ""zh-tw"")"),"1. 心臟是人體重要的器官。 2. 她每週日都在教堂演奏管風琴。 3. 這份報紙被認為是該黨的官方機關報。")</f>
        <v>1. 心臟是人體重要的器官。 2. 她每週日都在教堂演奏管風琴。 3. 這份報紙被認為是該黨的官方機關報。</v>
      </c>
    </row>
    <row r="255">
      <c r="A255" s="1" t="s">
        <v>767</v>
      </c>
      <c r="B255" s="2" t="s">
        <v>768</v>
      </c>
      <c r="C255" s="1" t="s">
        <v>7</v>
      </c>
      <c r="D255" s="1" t="s">
        <v>769</v>
      </c>
      <c r="E255" s="3" t="str">
        <f>IFERROR(__xludf.DUMMYFUNCTION("GOOGLETRANSLATE(D255, ""en"", ""zh-tw"")"),"1. 他在一個幫助難民的國際組織工作。 2. 這次活動的成功歸功於優秀的組織工作。")</f>
        <v>1. 他在一個幫助難民的國際組織工作。 2. 這次活動的成功歸功於優秀的組織工作。</v>
      </c>
    </row>
    <row r="256">
      <c r="A256" s="1" t="s">
        <v>770</v>
      </c>
      <c r="B256" s="2" t="s">
        <v>771</v>
      </c>
      <c r="C256" s="1" t="s">
        <v>7</v>
      </c>
      <c r="D256" s="1" t="s">
        <v>772</v>
      </c>
      <c r="E256" s="3" t="str">
        <f>IFERROR(__xludf.DUMMYFUNCTION("GOOGLETRANSLATE(D256, ""en"", ""zh-tw"")"),"1. 該習俗的起源尚不清楚。 2. 她是一位法裔作家。")</f>
        <v>1. 該習俗的起源尚不清楚。 2. 她是一位法裔作家。</v>
      </c>
    </row>
    <row r="257">
      <c r="A257" s="1" t="s">
        <v>773</v>
      </c>
      <c r="B257" s="2" t="s">
        <v>774</v>
      </c>
      <c r="C257" s="1" t="s">
        <v>17</v>
      </c>
      <c r="D257" s="1" t="s">
        <v>775</v>
      </c>
      <c r="E257" s="3" t="str">
        <f>IFERROR(__xludf.DUMMYFUNCTION("GOOGLETRANSLATE(D257, ""en"", ""zh-tw"")"),"那幅畫是一位義大利著名藝術家創作的。")</f>
        <v>那幅畫是一位義大利著名藝術家創作的。</v>
      </c>
    </row>
    <row r="258">
      <c r="A258" s="1" t="s">
        <v>776</v>
      </c>
      <c r="B258" s="2" t="s">
        <v>777</v>
      </c>
      <c r="C258" s="1" t="s">
        <v>7</v>
      </c>
      <c r="D258" s="1" t="s">
        <v>778</v>
      </c>
      <c r="E258" s="3" t="str">
        <f>IFERROR(__xludf.DUMMYFUNCTION("GOOGLETRANSLATE(D258, ""en"", ""zh-tw"")"),"許多學生參加了學校運動會。")</f>
        <v>許多學生參加了學校運動會。</v>
      </c>
    </row>
    <row r="259">
      <c r="A259" s="1" t="s">
        <v>779</v>
      </c>
      <c r="B259" s="2" t="s">
        <v>780</v>
      </c>
      <c r="C259" s="1" t="s">
        <v>7</v>
      </c>
      <c r="D259" s="1" t="s">
        <v>781</v>
      </c>
      <c r="E259" s="3" t="str">
        <f>IFERROR(__xludf.DUMMYFUNCTION("GOOGLETRANSLATE(D259, ""en"", ""zh-tw"")"),"1. 我在找一本關於歷史的書。 2. 他對食物非常講究。 3. 你能告訴我更多關於這個活動的細節嗎？")</f>
        <v>1. 我在找一本關於歷史的書。 2. 他對食物非常講究。 3. 你能告訴我更多關於這個活動的細節嗎？</v>
      </c>
    </row>
    <row r="260">
      <c r="A260" s="1" t="s">
        <v>782</v>
      </c>
      <c r="B260" s="2" t="s">
        <v>783</v>
      </c>
      <c r="C260" s="1" t="s">
        <v>17</v>
      </c>
      <c r="D260" s="1" t="s">
        <v>784</v>
      </c>
      <c r="E260" s="3" t="str">
        <f>IFERROR(__xludf.DUMMYFUNCTION("GOOGLETRANSLATE(D260, ""en"", ""zh-tw"")"),"請輸入密碼登入。")</f>
        <v>請輸入密碼登入。</v>
      </c>
    </row>
    <row r="261">
      <c r="A261" s="1" t="s">
        <v>785</v>
      </c>
      <c r="B261" s="2" t="s">
        <v>786</v>
      </c>
      <c r="C261" s="1" t="s">
        <v>7</v>
      </c>
      <c r="D261" s="1" t="s">
        <v>787</v>
      </c>
      <c r="E261" s="3" t="str">
        <f>IFERROR(__xludf.DUMMYFUNCTION("GOOGLETRANSLATE(D261, ""en"", ""zh-tw"")"),"1. 我們徒步五個小時後到達了山頂。 2. 去年12月假期季期間，銷售額達到最高峰。 3. 這位運動員已為比賽做好了最佳準備。")</f>
        <v>1. 我們徒步五個小時後到達了山頂。 2. 去年12月假期季期間，銷售額達到最高峰。 3. 這位運動員已為比賽做好了最佳準備。</v>
      </c>
    </row>
    <row r="262">
      <c r="A262" s="1" t="s">
        <v>788</v>
      </c>
      <c r="B262" s="2" t="s">
        <v>789</v>
      </c>
      <c r="C262" s="1" t="s">
        <v>7</v>
      </c>
      <c r="D262" s="1" t="s">
        <v>790</v>
      </c>
      <c r="E262" s="3" t="str">
        <f>IFERROR(__xludf.DUMMYFUNCTION("GOOGLETRANSLATE(D262, ""en"", ""zh-tw"")"),"限速為每小時 60 英里。")</f>
        <v>限速為每小時 60 英里。</v>
      </c>
    </row>
    <row r="263">
      <c r="A263" s="1" t="s">
        <v>791</v>
      </c>
      <c r="B263" s="2" t="s">
        <v>792</v>
      </c>
      <c r="C263" s="1" t="s">
        <v>7</v>
      </c>
      <c r="D263" s="1" t="s">
        <v>793</v>
      </c>
      <c r="E263" s="3" t="str">
        <f>IFERROR(__xludf.DUMMYFUNCTION("GOOGLETRANSLATE(D263, ""en"", ""zh-tw"")"),"1. 她個性開朗，人人都喜歡她。 2. 你的性格在你與他人的互動方式中扮演重要角色。")</f>
        <v>1. 她個性開朗，人人都喜歡她。 2. 你的性格在你與他人的互動方式中扮演重要角色。</v>
      </c>
    </row>
    <row r="264">
      <c r="A264" s="1" t="s">
        <v>794</v>
      </c>
      <c r="B264" s="2" t="s">
        <v>795</v>
      </c>
      <c r="C264" s="1" t="s">
        <v>7</v>
      </c>
      <c r="D264" s="1" t="s">
        <v>796</v>
      </c>
      <c r="E264" s="3" t="str">
        <f>IFERROR(__xludf.DUMMYFUNCTION("GOOGLETRANSLATE(D264, ""en"", ""zh-tw"")"),"1. 「祝你演出成功」是常用的祝愿語。 2. 說話者措辭謹慎，避免冒犯任何人。")</f>
        <v>1. 「祝你演出成功」是常用的祝愿語。 2. 說話者措辭謹慎，避免冒犯任何人。</v>
      </c>
    </row>
    <row r="265">
      <c r="A265" s="1" t="s">
        <v>797</v>
      </c>
      <c r="B265" s="2" t="s">
        <v>798</v>
      </c>
      <c r="C265" s="1" t="s">
        <v>7</v>
      </c>
      <c r="D265" s="1" t="s">
        <v>799</v>
      </c>
      <c r="E265" s="3" t="str">
        <f>IFERROR(__xludf.DUMMYFUNCTION("GOOGLETRANSLATE(D265, ""en"", ""zh-tw"")"),"莎士比亞是最著名的詩人之一。")</f>
        <v>莎士比亞是最著名的詩人之一。</v>
      </c>
    </row>
    <row r="266">
      <c r="A266" s="1" t="s">
        <v>800</v>
      </c>
      <c r="B266" s="2" t="s">
        <v>801</v>
      </c>
      <c r="C266" s="1" t="s">
        <v>7</v>
      </c>
      <c r="D266" s="1" t="s">
        <v>802</v>
      </c>
      <c r="E266" s="3" t="str">
        <f>IFERROR(__xludf.DUMMYFUNCTION("GOOGLETRANSLATE(D266, ""en"", ""zh-tw"")"),"她閒暇時喜歡讀詩。")</f>
        <v>她閒暇時喜歡讀詩。</v>
      </c>
    </row>
    <row r="267">
      <c r="A267" s="1" t="s">
        <v>803</v>
      </c>
      <c r="B267" s="2" t="s">
        <v>804</v>
      </c>
      <c r="C267" s="1" t="s">
        <v>17</v>
      </c>
      <c r="D267" s="1" t="s">
        <v>805</v>
      </c>
      <c r="E267" s="3" t="str">
        <f>IFERROR(__xludf.DUMMYFUNCTION("GOOGLETRANSLATE(D267, ""en"", ""zh-tw"")"),"警察幫助了走失的孩子。")</f>
        <v>警察幫助了走失的孩子。</v>
      </c>
    </row>
    <row r="268">
      <c r="A268" s="1" t="s">
        <v>806</v>
      </c>
      <c r="B268" s="2" t="s">
        <v>807</v>
      </c>
      <c r="C268" s="1" t="s">
        <v>279</v>
      </c>
      <c r="D268" s="1" t="s">
        <v>808</v>
      </c>
      <c r="E268" s="3" t="str">
        <f>IFERROR(__xludf.DUMMYFUNCTION("GOOGLETRANSLATE(D268, ""en"", ""zh-tw"")"),"公司對網路使用有嚴格的規定。")</f>
        <v>公司對網路使用有嚴格的規定。</v>
      </c>
    </row>
    <row r="269">
      <c r="A269" s="1" t="s">
        <v>809</v>
      </c>
      <c r="B269" s="2" t="s">
        <v>810</v>
      </c>
      <c r="C269" s="1" t="s">
        <v>7</v>
      </c>
      <c r="D269" s="1" t="s">
        <v>811</v>
      </c>
      <c r="E269" s="3" t="str">
        <f>IFERROR(__xludf.DUMMYFUNCTION("GOOGLETRANSLATE(D269, ""en"", ""zh-tw"")"),"1. 模特兒在夕陽下擺姿勢讓攝影師拍照。 2. 新法對小型企業構成挑戰。 3. 她在舞蹈表演中保持著優雅的姿勢。")</f>
        <v>1. 模特兒在夕陽下擺姿勢讓攝影師拍照。 2. 新法對小型企業構成挑戰。 3. 她在舞蹈表演中保持著優雅的姿勢。</v>
      </c>
    </row>
    <row r="270">
      <c r="A270" s="1" t="s">
        <v>812</v>
      </c>
      <c r="B270" s="2" t="s">
        <v>813</v>
      </c>
      <c r="C270" s="1" t="s">
        <v>7</v>
      </c>
      <c r="D270" s="1" t="s">
        <v>814</v>
      </c>
      <c r="E270" s="3" t="str">
        <f>IFERROR(__xludf.DUMMYFUNCTION("GOOGLETRANSLATE(D270, ""en"", ""zh-tw"")"),"明天有可能下雨。")</f>
        <v>明天有可能下雨。</v>
      </c>
    </row>
    <row r="271">
      <c r="A271" s="1" t="s">
        <v>815</v>
      </c>
      <c r="B271" s="2" t="s">
        <v>816</v>
      </c>
      <c r="C271" s="1" t="s">
        <v>7</v>
      </c>
      <c r="D271" s="1" t="s">
        <v>817</v>
      </c>
      <c r="E271" s="3" t="str">
        <f>IFERROR(__xludf.DUMMYFUNCTION("GOOGLETRANSLATE(D271, ""en"", ""zh-tw"")"),"1. 他被調到行銷部的新職位。 2. 她昨天把信寄出去了。 3. 他們把徵才廣告發佈到網路上。")</f>
        <v>1. 他被調到行銷部的新職位。 2. 她昨天把信寄出去了。 3. 他們把徵才廣告發佈到網路上。</v>
      </c>
    </row>
    <row r="272">
      <c r="A272" s="1" t="s">
        <v>818</v>
      </c>
      <c r="B272" s="2" t="s">
        <v>819</v>
      </c>
      <c r="C272" s="1" t="s">
        <v>7</v>
      </c>
      <c r="D272" s="1" t="s">
        <v>820</v>
      </c>
      <c r="E272" s="3" t="str">
        <f>IFERROR(__xludf.DUMMYFUNCTION("GOOGLETRANSLATE(D272, ""en"", ""zh-tw"")"),"1. 總統是這個國家最有權力的人之一。 2. 她發表了一篇鼓舞人心的演講，激勵了所有人。")</f>
        <v>1. 總統是這個國家最有權力的人之一。 2. 她發表了一篇鼓舞人心的演講，激勵了所有人。</v>
      </c>
    </row>
    <row r="273">
      <c r="A273" s="1" t="s">
        <v>821</v>
      </c>
      <c r="B273" s="2" t="s">
        <v>822</v>
      </c>
      <c r="C273" s="1" t="s">
        <v>17</v>
      </c>
      <c r="D273" s="1" t="s">
        <v>823</v>
      </c>
      <c r="E273" s="3" t="str">
        <f>IFERROR(__xludf.DUMMYFUNCTION("GOOGLETRANSLATE(D273, ""en"", ""zh-tw"")"),"她為家人的健康和幸福祈禱。")</f>
        <v>她為家人的健康和幸福祈禱。</v>
      </c>
    </row>
    <row r="274">
      <c r="A274" s="1" t="s">
        <v>824</v>
      </c>
      <c r="B274" s="2" t="s">
        <v>825</v>
      </c>
      <c r="C274" s="1" t="s">
        <v>17</v>
      </c>
      <c r="D274" s="1" t="s">
        <v>826</v>
      </c>
      <c r="E274" s="3" t="str">
        <f>IFERROR(__xludf.DUMMYFUNCTION("GOOGLETRANSLATE(D274, ""en"", ""zh-tw"")"),"早上我更喜歡喝茶而不是咖啡。")</f>
        <v>早上我更喜歡喝茶而不是咖啡。</v>
      </c>
    </row>
    <row r="275">
      <c r="A275" s="1" t="s">
        <v>827</v>
      </c>
      <c r="B275" s="2" t="s">
        <v>828</v>
      </c>
      <c r="C275" s="1" t="s">
        <v>7</v>
      </c>
      <c r="D275" s="1" t="s">
        <v>829</v>
      </c>
      <c r="E275" s="3" t="str">
        <f>IFERROR(__xludf.DUMMYFUNCTION("GOOGLETRANSLATE(D275, ""en"", ""zh-tw"")"),"1. 請按下按鈕啟動機器。 2. 經理催促他週五前完成報告。 3. 這位記者在當地報社工作。")</f>
        <v>1. 請按下按鈕啟動機器。 2. 經理催促他週五前完成報告。 3. 這位記者在當地報社工作。</v>
      </c>
    </row>
    <row r="276">
      <c r="A276" s="1" t="s">
        <v>830</v>
      </c>
      <c r="B276" s="2" t="s">
        <v>831</v>
      </c>
      <c r="C276" s="1" t="s">
        <v>7</v>
      </c>
      <c r="D276" s="1" t="s">
        <v>832</v>
      </c>
      <c r="E276" s="3" t="str">
        <f>IFERROR(__xludf.DUMMYFUNCTION("GOOGLETRANSLATE(D276, ""en"", ""zh-tw"")"),"1. 她對自己的工作感到非常自豪。 2. 他以自己守時為榮。")</f>
        <v>1. 她對自己的工作感到非常自豪。 2. 他以自己守時為榮。</v>
      </c>
    </row>
    <row r="277">
      <c r="A277" s="1" t="s">
        <v>833</v>
      </c>
      <c r="B277" s="2" t="s">
        <v>834</v>
      </c>
      <c r="C277" s="1" t="s">
        <v>17</v>
      </c>
      <c r="D277" s="1" t="s">
        <v>835</v>
      </c>
      <c r="E277" s="3" t="str">
        <f>IFERROR(__xludf.DUMMYFUNCTION("GOOGLETRANSLATE(D277, ""en"", ""zh-tw"")"),"王子住在一座大城堡裡。")</f>
        <v>王子住在一座大城堡裡。</v>
      </c>
    </row>
    <row r="278">
      <c r="A278" s="1" t="s">
        <v>836</v>
      </c>
      <c r="B278" s="2" t="s">
        <v>837</v>
      </c>
      <c r="C278" s="1" t="s">
        <v>7</v>
      </c>
      <c r="D278" s="1" t="s">
        <v>838</v>
      </c>
      <c r="E278" s="3" t="str">
        <f>IFERROR(__xludf.DUMMYFUNCTION("GOOGLETRANSLATE(D278, ""en"", ""zh-tw"")"),"他被判入獄五年。")</f>
        <v>他被判入獄五年。</v>
      </c>
    </row>
    <row r="279">
      <c r="A279" s="1" t="s">
        <v>839</v>
      </c>
      <c r="B279" s="2" t="s">
        <v>840</v>
      </c>
      <c r="C279" s="1" t="s">
        <v>7</v>
      </c>
      <c r="D279" s="1" t="s">
        <v>841</v>
      </c>
      <c r="E279" s="3" t="str">
        <f>IFERROR(__xludf.DUMMYFUNCTION("GOOGLETRANSLATE(D279, ""en"", ""zh-tw"")"),"這名囚犯服刑十年後獲釋。")</f>
        <v>這名囚犯服刑十年後獲釋。</v>
      </c>
    </row>
    <row r="280">
      <c r="A280" s="1" t="s">
        <v>842</v>
      </c>
      <c r="B280" s="2" t="s">
        <v>843</v>
      </c>
      <c r="C280" s="1" t="s">
        <v>7</v>
      </c>
      <c r="D280" s="1" t="s">
        <v>844</v>
      </c>
      <c r="E280" s="3" t="str">
        <f>IFERROR(__xludf.DUMMYFUNCTION("GOOGLETRANSLATE(D280, ""en"", ""zh-tw"")"),"1. 請穿著得體服裝參加面試。 2. 寫作時使用正確的文法非常重要。")</f>
        <v>1. 請穿著得體服裝參加面試。 2. 寫作時使用正確的文法非常重要。</v>
      </c>
    </row>
    <row r="281">
      <c r="A281" s="1" t="s">
        <v>845</v>
      </c>
      <c r="B281" s="2" t="s">
        <v>846</v>
      </c>
      <c r="C281" s="1" t="s">
        <v>7</v>
      </c>
      <c r="D281" s="1" t="s">
        <v>847</v>
      </c>
      <c r="E281" s="3" t="str">
        <f>IFERROR(__xludf.DUMMYFUNCTION("GOOGLETRANSLATE(D281, ""en"", ""zh-tw"")"),"1. 他提出了一個提高公司銷售額的新方案。 2. 昨晚他緊張地向女友求婚了。")</f>
        <v>1. 他提出了一個提高公司銷售額的新方案。 2. 昨晚他緊張地向女友求婚了。</v>
      </c>
    </row>
    <row r="282">
      <c r="A282" s="1" t="s">
        <v>848</v>
      </c>
      <c r="B282" s="2" t="s">
        <v>849</v>
      </c>
      <c r="C282" s="1" t="s">
        <v>7</v>
      </c>
      <c r="D282" s="1" t="s">
        <v>850</v>
      </c>
      <c r="E282" s="3" t="str">
        <f>IFERROR(__xludf.DUMMYFUNCTION("GOOGLETRANSLATE(D282, ""en"", ""zh-tw"")"),"父母通常對自己的孩子抱持保護欲。")</f>
        <v>父母通常對自己的孩子抱持保護欲。</v>
      </c>
    </row>
    <row r="283">
      <c r="A283" s="1" t="s">
        <v>851</v>
      </c>
      <c r="B283" s="2" t="s">
        <v>852</v>
      </c>
      <c r="C283" s="1" t="s">
        <v>7</v>
      </c>
      <c r="D283" s="1" t="s">
        <v>853</v>
      </c>
      <c r="E283" s="3" t="str">
        <f>IFERROR(__xludf.DUMMYFUNCTION("GOOGLETRANSLATE(D283, ""en"", ""zh-tw"")"),"這位科學家透過多個實驗證明了他的理論。")</f>
        <v>這位科學家透過多個實驗證明了他的理論。</v>
      </c>
    </row>
    <row r="284">
      <c r="A284" s="1" t="s">
        <v>854</v>
      </c>
      <c r="B284" s="2" t="s">
        <v>855</v>
      </c>
      <c r="C284" s="1" t="s">
        <v>17</v>
      </c>
      <c r="D284" s="1" t="s">
        <v>856</v>
      </c>
      <c r="E284" s="3" t="str">
        <f>IFERROR(__xludf.DUMMYFUNCTION("GOOGLETRANSLATE(D284, ""en"", ""zh-tw"")"),"我的甜點是巧克力布丁。")</f>
        <v>我的甜點是巧克力布丁。</v>
      </c>
    </row>
    <row r="285">
      <c r="A285" s="1" t="s">
        <v>857</v>
      </c>
      <c r="B285" s="2" t="s">
        <v>858</v>
      </c>
      <c r="C285" s="1" t="s">
        <v>7</v>
      </c>
      <c r="D285" s="1" t="s">
        <v>859</v>
      </c>
      <c r="E285" s="3" t="str">
        <f>IFERROR(__xludf.DUMMYFUNCTION("GOOGLETRANSLATE(D285, ""en"", ""zh-tw"")"),"老師因為他遲到而對他進行了懲罰。")</f>
        <v>老師因為他遲到而對他進行了懲罰。</v>
      </c>
    </row>
    <row r="286">
      <c r="A286" s="1" t="s">
        <v>860</v>
      </c>
      <c r="B286" s="2" t="s">
        <v>861</v>
      </c>
      <c r="C286" s="1" t="s">
        <v>17</v>
      </c>
      <c r="D286" s="1" t="s">
        <v>862</v>
      </c>
      <c r="E286" s="3" t="str">
        <f>IFERROR(__xludf.DUMMYFUNCTION("GOOGLETRANSLATE(D286, ""en"", ""zh-tw"")"),"老師表揚了學生們的努力學習。")</f>
        <v>老師表揚了學生們的努力學習。</v>
      </c>
    </row>
    <row r="287">
      <c r="A287" s="1" t="s">
        <v>863</v>
      </c>
      <c r="B287" s="2" t="s">
        <v>864</v>
      </c>
      <c r="C287" s="1" t="s">
        <v>7</v>
      </c>
      <c r="D287" s="1" t="s">
        <v>865</v>
      </c>
      <c r="E287" s="3" t="str">
        <f>IFERROR(__xludf.DUMMYFUNCTION("GOOGLETRANSLATE(D287, ""en"", ""zh-tw"")"),"1. 這款布料品質非常好。 2. 他們以合理的價格銷售優質產品。")</f>
        <v>1. 這款布料品質非常好。 2. 他們以合理的價格銷售優質產品。</v>
      </c>
    </row>
    <row r="288">
      <c r="A288" s="1" t="s">
        <v>866</v>
      </c>
      <c r="B288" s="2" t="s">
        <v>867</v>
      </c>
      <c r="C288" s="1" t="s">
        <v>7</v>
      </c>
      <c r="D288" s="1" t="s">
        <v>868</v>
      </c>
      <c r="E288" s="3" t="str">
        <f>IFERROR(__xludf.DUMMYFUNCTION("GOOGLETRANSLATE(D288, ""en"", ""zh-tw"")"),"這家工廠每月生產大量鞋子。")</f>
        <v>這家工廠每月生產大量鞋子。</v>
      </c>
    </row>
    <row r="289">
      <c r="A289" s="1" t="s">
        <v>869</v>
      </c>
      <c r="B289" s="2" t="s">
        <v>870</v>
      </c>
      <c r="C289" s="1" t="s">
        <v>7</v>
      </c>
      <c r="D289" s="1" t="s">
        <v>871</v>
      </c>
      <c r="E289" s="3" t="str">
        <f>IFERROR(__xludf.DUMMYFUNCTION("GOOGLETRANSLATE(D289, ""en"", ""zh-tw"")"),"鐵路連接城市和鄉村。")</f>
        <v>鐵路連接城市和鄉村。</v>
      </c>
    </row>
    <row r="290">
      <c r="A290" s="1" t="s">
        <v>872</v>
      </c>
      <c r="B290" s="2" t="s">
        <v>873</v>
      </c>
      <c r="C290" s="1" t="s">
        <v>7</v>
      </c>
      <c r="D290" s="1" t="s">
        <v>874</v>
      </c>
      <c r="E290" s="3" t="str">
        <f>IFERROR(__xludf.DUMMYFUNCTION("GOOGLETRANSLATE(D290, ""en"", ""zh-tw"")"),"1. 這些產品的價格範圍很廣。 2. 山脈沿著海岸線綿延，構成了一道美麗的山脈。 3. 氣溫範圍在攝氏10到30度之間。")</f>
        <v>1. 這些產品的價格範圍很廣。 2. 山脈沿著海岸線綿延，構成了一道美麗的山脈。 3. 氣溫範圍在攝氏10到30度之間。</v>
      </c>
    </row>
    <row r="291">
      <c r="A291" s="1" t="s">
        <v>875</v>
      </c>
      <c r="B291" s="2" t="s">
        <v>876</v>
      </c>
      <c r="C291" s="1" t="s">
        <v>7</v>
      </c>
      <c r="D291" s="1" t="s">
        <v>877</v>
      </c>
      <c r="E291" s="3" t="str">
        <f>IFERROR(__xludf.DUMMYFUNCTION("GOOGLETRANSLATE(D291, ""en"", ""zh-tw"")"),"河水水流湍急，游泳很危險。")</f>
        <v>河水水流湍急，游泳很危險。</v>
      </c>
    </row>
    <row r="292">
      <c r="A292" s="1" t="s">
        <v>878</v>
      </c>
      <c r="B292" s="2" t="s">
        <v>879</v>
      </c>
      <c r="C292" s="1" t="s">
        <v>7</v>
      </c>
      <c r="D292" s="1" t="s">
        <v>880</v>
      </c>
      <c r="E292" s="3" t="str">
        <f>IFERROR(__xludf.DUMMYFUNCTION("GOOGLETRANSLATE(D292, ""en"", ""zh-tw"")"),"有時現實與我們的預期有所不同。")</f>
        <v>有時現實與我們的預期有所不同。</v>
      </c>
    </row>
    <row r="293">
      <c r="A293" s="1" t="s">
        <v>881</v>
      </c>
      <c r="B293" s="2" t="s">
        <v>882</v>
      </c>
      <c r="C293" s="1" t="s">
        <v>17</v>
      </c>
      <c r="D293" s="1" t="s">
        <v>883</v>
      </c>
      <c r="E293" s="3" t="str">
        <f>IFERROR(__xludf.DUMMYFUNCTION("GOOGLETRANSLATE(D293, ""en"", ""zh-tw"")"),"最近有關該項目的消息令人鼓舞。")</f>
        <v>最近有關該項目的消息令人鼓舞。</v>
      </c>
    </row>
    <row r="294">
      <c r="A294" s="1" t="s">
        <v>884</v>
      </c>
      <c r="B294" s="2" t="s">
        <v>885</v>
      </c>
      <c r="C294" s="1" t="s">
        <v>17</v>
      </c>
      <c r="D294" s="1" t="s">
        <v>886</v>
      </c>
      <c r="E294" s="3" t="str">
        <f>IFERROR(__xludf.DUMMYFUNCTION("GOOGLETRANSLATE(D294, ""en"", ""zh-tw"")"),"請將食物存放在冰箱裡。")</f>
        <v>請將食物存放在冰箱裡。</v>
      </c>
    </row>
    <row r="295">
      <c r="A295" s="1" t="s">
        <v>887</v>
      </c>
      <c r="B295" s="2" t="s">
        <v>888</v>
      </c>
      <c r="C295" s="1" t="s">
        <v>7</v>
      </c>
      <c r="D295" s="1" t="s">
        <v>889</v>
      </c>
      <c r="E295" s="3" t="str">
        <f>IFERROR(__xludf.DUMMYFUNCTION("GOOGLETRANSLATE(D295, ""en"", ""zh-tw"")"),"1. 她非常尊敬她的老師。 2. 許多人認為她是一位才華洋溢的藝術家。 3. 他非常重視自己的健康。")</f>
        <v>1. 她非常尊敬她的老師。 2. 許多人認為她是一位才華洋溢的藝術家。 3. 他非常重視自己的健康。</v>
      </c>
    </row>
    <row r="296">
      <c r="A296" s="1" t="s">
        <v>890</v>
      </c>
      <c r="B296" s="2" t="s">
        <v>891</v>
      </c>
      <c r="C296" s="1" t="s">
        <v>7</v>
      </c>
      <c r="D296" s="1" t="s">
        <v>892</v>
      </c>
      <c r="E296" s="3" t="str">
        <f>IFERROR(__xludf.DUMMYFUNCTION("GOOGLETRANSLATE(D296, ""en"", ""zh-tw"")"),"這個地區以其美麗的風景而聞名。")</f>
        <v>這個地區以其美麗的風景而聞名。</v>
      </c>
    </row>
    <row r="297">
      <c r="A297" s="1" t="s">
        <v>893</v>
      </c>
      <c r="B297" s="2" t="s">
        <v>894</v>
      </c>
      <c r="C297" s="1" t="s">
        <v>7</v>
      </c>
      <c r="D297" s="1" t="s">
        <v>895</v>
      </c>
      <c r="E297" s="3" t="str">
        <f>IFERROR(__xludf.DUMMYFUNCTION("GOOGLETRANSLATE(D297, ""en"", ""zh-tw"")"),"1. 她向警方講述了這起事故經過。 2. 這個故事與這座城市的歷史有關。")</f>
        <v>1. 她向警方講述了這起事故經過。 2. 這個故事與這座城市的歷史有關。</v>
      </c>
    </row>
    <row r="298">
      <c r="A298" s="1" t="s">
        <v>896</v>
      </c>
      <c r="B298" s="2" t="s">
        <v>897</v>
      </c>
      <c r="C298" s="1" t="s">
        <v>7</v>
      </c>
      <c r="D298" s="1" t="s">
        <v>898</v>
      </c>
      <c r="E298" s="3" t="str">
        <f>IFERROR(__xludf.DUMMYFUNCTION("GOOGLETRANSLATE(D298, ""en"", ""zh-tw"")"),"兩國關係近期有所改善。")</f>
        <v>兩國關係近期有所改善。</v>
      </c>
    </row>
    <row r="299">
      <c r="A299" s="1" t="s">
        <v>899</v>
      </c>
      <c r="B299" s="2" t="s">
        <v>900</v>
      </c>
      <c r="C299" s="1" t="s">
        <v>7</v>
      </c>
      <c r="D299" s="1" t="s">
        <v>901</v>
      </c>
      <c r="E299" s="3" t="str">
        <f>IFERROR(__xludf.DUMMYFUNCTION("GOOGLETRANSLATE(D299, ""en"", ""zh-tw"")"),"1. 宗教自由是一項基本人權。 2. 佛教是亞洲主要宗教之一。")</f>
        <v>1. 宗教自由是一項基本人權。 2. 佛教是亞洲主要宗教之一。</v>
      </c>
    </row>
    <row r="300">
      <c r="A300" s="1" t="s">
        <v>902</v>
      </c>
      <c r="B300" s="2" t="s">
        <v>903</v>
      </c>
      <c r="C300" s="1" t="s">
        <v>7</v>
      </c>
      <c r="D300" s="1" t="s">
        <v>904</v>
      </c>
      <c r="E300" s="3" t="str">
        <f>IFERROR(__xludf.DUMMYFUNCTION("GOOGLETRANSLATE(D300, ""en"", ""zh-tw"")"),"1. 請進屋前脫鞋。 2. 布料上的污漬很難去除。")</f>
        <v>1. 請進屋前脫鞋。 2. 布料上的污漬很難去除。</v>
      </c>
    </row>
    <row r="301">
      <c r="A301" s="1" t="s">
        <v>905</v>
      </c>
      <c r="B301" s="2" t="s">
        <v>906</v>
      </c>
      <c r="C301" s="1" t="s">
        <v>17</v>
      </c>
      <c r="D301" s="1" t="s">
        <v>907</v>
      </c>
      <c r="E301" s="3" t="str">
        <f>IFERROR(__xludf.DUMMYFUNCTION("GOOGLETRANSLATE(D301, ""en"", ""zh-tw"")"),"1. 他對這個問題的回答非常清楚。 2. 她沒有回覆我的訊息。")</f>
        <v>1. 他對這個問題的回答非常清楚。 2. 她沒有回覆我的訊息。</v>
      </c>
    </row>
    <row r="302">
      <c r="A302" s="1" t="s">
        <v>908</v>
      </c>
      <c r="B302" s="2" t="s">
        <v>909</v>
      </c>
      <c r="C302" s="1" t="s">
        <v>7</v>
      </c>
      <c r="D302" s="1" t="s">
        <v>910</v>
      </c>
      <c r="E302" s="3" t="str">
        <f>IFERROR(__xludf.DUMMYFUNCTION("GOOGLETRANSLATE(D302, ""en"", ""zh-tw"")"),"1. 這份工作需要極大的耐心和細緻的觀察力。 2. 學校要求學生穿著制服。")</f>
        <v>1. 這份工作需要極大的耐心和細緻的觀察力。 2. 學校要求學生穿著制服。</v>
      </c>
    </row>
    <row r="303">
      <c r="A303" s="1" t="s">
        <v>911</v>
      </c>
      <c r="B303" s="2" t="s">
        <v>912</v>
      </c>
      <c r="C303" s="1" t="s">
        <v>7</v>
      </c>
      <c r="D303" s="1" t="s">
        <v>913</v>
      </c>
      <c r="E303" s="3" t="str">
        <f>IFERROR(__xludf.DUMMYFUNCTION("GOOGLETRANSLATE(D303, ""en"", ""zh-tw"")"),"1. 良好的溝通能力是該職位必備條件。 2. 該項目符合所有安全要求。")</f>
        <v>1. 良好的溝通能力是該職位必備條件。 2. 該項目符合所有安全要求。</v>
      </c>
    </row>
    <row r="304">
      <c r="A304" s="1" t="s">
        <v>914</v>
      </c>
      <c r="B304" s="2" t="s">
        <v>915</v>
      </c>
      <c r="C304" s="1" t="s">
        <v>7</v>
      </c>
      <c r="D304" s="1" t="s">
        <v>916</v>
      </c>
      <c r="E304" s="3" t="str">
        <f>IFERROR(__xludf.DUMMYFUNCTION("GOOGLETRANSLATE(D304, ""en"", ""zh-tw"")"),"1. 她過了兩天後才回覆我的郵件。 2. 本公司對客戶投訴反應迅速。")</f>
        <v>1. 她過了兩天後才回覆我的郵件。 2. 本公司對客戶投訴反應迅速。</v>
      </c>
    </row>
    <row r="305">
      <c r="A305" s="1" t="s">
        <v>917</v>
      </c>
      <c r="B305" s="2" t="s">
        <v>918</v>
      </c>
      <c r="C305" s="1" t="s">
        <v>279</v>
      </c>
      <c r="D305" s="1" t="s">
        <v>919</v>
      </c>
      <c r="E305" s="3" t="str">
        <f>IFERROR(__xludf.DUMMYFUNCTION("GOOGLETRANSLATE(D305, ""en"", ""zh-tw"")"),"1. 他離開家鄉去追尋名利。 2. 這個國家以其森林和河流的自然資源而聞名。")</f>
        <v>1. 他離開家鄉去追尋名利。 2. 這個國家以其森林和河流的自然資源而聞名。</v>
      </c>
    </row>
    <row r="306">
      <c r="A306" s="1" t="s">
        <v>920</v>
      </c>
      <c r="B306" s="2" t="s">
        <v>921</v>
      </c>
      <c r="C306" s="1" t="s">
        <v>17</v>
      </c>
      <c r="D306" s="1" t="s">
        <v>922</v>
      </c>
      <c r="E306" s="3" t="str">
        <f>IFERROR(__xludf.DUMMYFUNCTION("GOOGLETRANSLATE(D306, ""en"", ""zh-tw"")"),"1. 我們沿著海邊一條崎嶇的小路徒步旅行。 2. 他們的關係開始得併不順利，但隨著時間的推移有所改善。")</f>
        <v>1. 我們沿著海邊一條崎嶇的小路徒步旅行。 2. 他們的關係開始得併不順利，但隨著時間的推移有所改善。</v>
      </c>
    </row>
    <row r="307">
      <c r="A307" s="1" t="s">
        <v>923</v>
      </c>
      <c r="B307" s="2" t="s">
        <v>924</v>
      </c>
      <c r="C307" s="1" t="s">
        <v>17</v>
      </c>
      <c r="D307" s="1" t="s">
        <v>925</v>
      </c>
      <c r="E307" s="3" t="str">
        <f>IFERROR(__xludf.DUMMYFUNCTION("GOOGLETRANSLATE(D307, ""en"", ""zh-tw"")"),"日出時分，公雞啼鳴。")</f>
        <v>日出時分，公雞啼鳴。</v>
      </c>
    </row>
    <row r="308">
      <c r="A308" s="1" t="s">
        <v>926</v>
      </c>
      <c r="B308" s="2" t="s">
        <v>927</v>
      </c>
      <c r="C308" s="1" t="s">
        <v>7</v>
      </c>
      <c r="D308" s="1" t="s">
        <v>928</v>
      </c>
      <c r="E308" s="3" t="str">
        <f>IFERROR(__xludf.DUMMYFUNCTION("GOOGLETRANSLATE(D308, ""en"", ""zh-tw"")"),"1. 王室成員出席了儀式。 2. 她抵達時受到了王室的熱烈歡迎。")</f>
        <v>1. 王室成員出席了儀式。 2. 她抵達時受到了王室的熱烈歡迎。</v>
      </c>
    </row>
    <row r="309">
      <c r="A309" s="1" t="s">
        <v>929</v>
      </c>
      <c r="B309" s="2" t="s">
        <v>930</v>
      </c>
      <c r="C309" s="1" t="s">
        <v>17</v>
      </c>
      <c r="D309" s="1" t="s">
        <v>931</v>
      </c>
      <c r="E309" s="3" t="str">
        <f>IFERROR(__xludf.DUMMYFUNCTION("GOOGLETRANSLATE(D309, ""en"", ""zh-tw"")"),"1. 這些輪胎是用結實的橡膠製成的。 2. 在英國，「rubber」指的是鉛筆橡皮擦。 3. 她穿著橡膠靴在雨中行走。")</f>
        <v>1. 這些輪胎是用結實的橡膠製成的。 2. 在英國，「rubber」指的是鉛筆橡皮擦。 3. 她穿著橡膠靴在雨中行走。</v>
      </c>
    </row>
    <row r="310">
      <c r="A310" s="1" t="s">
        <v>932</v>
      </c>
      <c r="B310" s="2" t="s">
        <v>933</v>
      </c>
      <c r="C310" s="1" t="s">
        <v>17</v>
      </c>
      <c r="D310" s="1" t="s">
        <v>934</v>
      </c>
      <c r="E310" s="3" t="str">
        <f>IFERROR(__xludf.DUMMYFUNCTION("GOOGLETRANSLATE(D310, ""en"", ""zh-tw"")"),"他是一名參加國際比賽的職業跑步運動員。")</f>
        <v>他是一名參加國際比賽的職業跑步運動員。</v>
      </c>
    </row>
    <row r="311">
      <c r="A311" s="1" t="s">
        <v>935</v>
      </c>
      <c r="B311" s="2" t="s">
        <v>936</v>
      </c>
      <c r="C311" s="1" t="s">
        <v>17</v>
      </c>
      <c r="D311" s="1" t="s">
        <v>937</v>
      </c>
      <c r="E311" s="3" t="str">
        <f>IFERROR(__xludf.DUMMYFUNCTION("GOOGLETRANSLATE(D311, ""en"", ""zh-tw"")"),"銷售人員幫我挑選了合適的筆記型電腦。")</f>
        <v>銷售人員幫我挑選了合適的筆記型電腦。</v>
      </c>
    </row>
    <row r="312">
      <c r="A312" s="1" t="s">
        <v>938</v>
      </c>
      <c r="B312" s="2" t="s">
        <v>939</v>
      </c>
      <c r="C312" s="1" t="s">
        <v>17</v>
      </c>
      <c r="D312" s="1" t="s">
        <v>940</v>
      </c>
      <c r="E312" s="3" t="str">
        <f>IFERROR(__xludf.DUMMYFUNCTION("GOOGLETRANSLATE(D312, ""en"", ""zh-tw"")"),"銷售員幫我挑選了合適的筆記型電腦。")</f>
        <v>銷售員幫我挑選了合適的筆記型電腦。</v>
      </c>
    </row>
    <row r="313">
      <c r="A313" s="1" t="s">
        <v>941</v>
      </c>
      <c r="B313" s="2" t="s">
        <v>942</v>
      </c>
      <c r="C313" s="1" t="s">
        <v>17</v>
      </c>
      <c r="D313" s="1" t="s">
        <v>943</v>
      </c>
      <c r="E313" s="3" t="str">
        <f>IFERROR(__xludf.DUMMYFUNCTION("GOOGLETRANSLATE(D313, ""en"", ""zh-tw"")"),"1. 海風嘗起來有鹹味。 2. 這湯太鹹了，需要加點水。")</f>
        <v>1. 海風嘗起來有鹹味。 2. 這湯太鹹了，需要加點水。</v>
      </c>
    </row>
    <row r="314">
      <c r="A314" s="1" t="s">
        <v>944</v>
      </c>
      <c r="B314" s="2" t="s">
        <v>945</v>
      </c>
      <c r="C314" s="1" t="s">
        <v>17</v>
      </c>
      <c r="D314" s="1" t="s">
        <v>946</v>
      </c>
      <c r="E314" s="3" t="str">
        <f>IFERROR(__xludf.DUMMYFUNCTION("GOOGLETRANSLATE(D314, ""en"", ""zh-tw"")"),"他用鋸子鋸開了木板。")</f>
        <v>他用鋸子鋸開了木板。</v>
      </c>
    </row>
    <row r="315">
      <c r="A315" s="1" t="s">
        <v>947</v>
      </c>
      <c r="B315" s="2" t="s">
        <v>948</v>
      </c>
      <c r="C315" s="1" t="s">
        <v>17</v>
      </c>
      <c r="D315" s="1" t="s">
        <v>949</v>
      </c>
      <c r="E315" s="3" t="str">
        <f>IFERROR(__xludf.DUMMYFUNCTION("GOOGLETRANSLATE(D315, ""en"", ""zh-tw"")"),"1. 巨大的噪音嚇到了孩子。 2. 昨晚曾出現可能停電的恐慌。")</f>
        <v>1. 巨大的噪音嚇到了孩子。 2. 昨晚曾出現可能停電的恐慌。</v>
      </c>
    </row>
    <row r="316">
      <c r="A316" s="1" t="s">
        <v>950</v>
      </c>
      <c r="B316" s="2" t="s">
        <v>951</v>
      </c>
      <c r="C316" s="1" t="s">
        <v>7</v>
      </c>
      <c r="D316" s="1" t="s">
        <v>952</v>
      </c>
      <c r="E316" s="3" t="str">
        <f>IFERROR(__xludf.DUMMYFUNCTION("GOOGLETRANSLATE(D316, ""en"", ""zh-tw"")"),"1. 我這週日程很滿。 2. 我們把會議安排在下週一。")</f>
        <v>1. 我這週日程很滿。 2. 我們把會議安排在下週一。</v>
      </c>
    </row>
    <row r="317">
      <c r="A317" s="1" t="s">
        <v>953</v>
      </c>
      <c r="B317" s="2" t="s">
        <v>954</v>
      </c>
      <c r="C317" s="1" t="s">
        <v>7</v>
      </c>
      <c r="D317" s="1" t="s">
        <v>955</v>
      </c>
      <c r="E317" s="3" t="str">
        <f>IFERROR(__xludf.DUMMYFUNCTION("GOOGLETRANSLATE(D317, ""en"", ""zh-tw"")"),"1. 許多人都在生活中追求幸福。 2. 她正在向她的導師尋求建議。")</f>
        <v>1. 許多人都在生活中追求幸福。 2. 她正在向她的導師尋求建議。</v>
      </c>
    </row>
    <row r="318">
      <c r="A318" s="1" t="s">
        <v>956</v>
      </c>
      <c r="B318" s="2" t="s">
        <v>957</v>
      </c>
      <c r="C318" s="1" t="s">
        <v>7</v>
      </c>
      <c r="D318" s="1" t="s">
        <v>958</v>
      </c>
      <c r="E318" s="3" t="str">
        <f>IFERROR(__xludf.DUMMYFUNCTION("GOOGLETRANSLATE(D318, ""en"", ""zh-tw"")"),"這家書店提供種類繁多的書籍。")</f>
        <v>這家書店提供種類繁多的書籍。</v>
      </c>
    </row>
    <row r="319">
      <c r="A319" s="1" t="s">
        <v>959</v>
      </c>
      <c r="B319" s="2" t="s">
        <v>960</v>
      </c>
      <c r="C319" s="1" t="s">
        <v>17</v>
      </c>
      <c r="D319" s="1" t="s">
        <v>961</v>
      </c>
      <c r="E319" s="3" t="str">
        <f>IFERROR(__xludf.DUMMYFUNCTION("GOOGLETRANSLATE(D319, ""en"", ""zh-tw"")"),"1. 照顧好自己很重要。 2. 她很有自尊心。")</f>
        <v>1. 照顧好自己很重要。 2. 她很有自尊心。</v>
      </c>
    </row>
    <row r="320">
      <c r="A320" s="1" t="s">
        <v>962</v>
      </c>
      <c r="B320" s="2" t="s">
        <v>963</v>
      </c>
      <c r="C320" s="1" t="s">
        <v>7</v>
      </c>
      <c r="D320" s="1" t="s">
        <v>964</v>
      </c>
      <c r="E320" s="3" t="str">
        <f>IFERROR(__xludf.DUMMYFUNCTION("GOOGLETRANSLATE(D320, ""en"", ""zh-tw"")"),"1. 他很在意別人的批評。 2. 這款護膚霜適合敏感肌膚人群使用。 3. 她很在意別人的感受。")</f>
        <v>1. 他很在意別人的批評。 2. 這款護膚霜適合敏感肌膚人群使用。 3. 她很在意別人的感受。</v>
      </c>
    </row>
    <row r="321">
      <c r="A321" s="1" t="s">
        <v>965</v>
      </c>
      <c r="B321" s="2" t="s">
        <v>966</v>
      </c>
      <c r="C321" s="1" t="s">
        <v>7</v>
      </c>
      <c r="D321" s="1" t="s">
        <v>967</v>
      </c>
      <c r="E321" s="3" t="str">
        <f>IFERROR(__xludf.DUMMYFUNCTION("GOOGLETRANSLATE(D321, ""en"", ""zh-tw"")"),"1. 他們在房子裡有各自獨立的臥室。 2. 請將可回收物與垃圾分開。")</f>
        <v>1. 他們在房子裡有各自獨立的臥室。 2. 請將可回收物與垃圾分開。</v>
      </c>
    </row>
    <row r="322">
      <c r="A322" s="1" t="s">
        <v>968</v>
      </c>
      <c r="B322" s="2" t="s">
        <v>969</v>
      </c>
      <c r="C322" s="1" t="s">
        <v>7</v>
      </c>
      <c r="D322" s="1" t="s">
        <v>970</v>
      </c>
      <c r="E322" s="3" t="str">
        <f>IFERROR(__xludf.DUMMYFUNCTION("GOOGLETRANSLATE(D322, ""en"", ""zh-tw"")"),"1. 在多年旅行後，她決定在一個小鎮定居。 2. 他們透過談判解決了分歧。")</f>
        <v>1. 在多年旅行後，她決定在一個小鎮定居。 2. 他們透過談判解決了分歧。</v>
      </c>
    </row>
    <row r="323">
      <c r="A323" s="1" t="s">
        <v>971</v>
      </c>
      <c r="B323" s="2" t="s">
        <v>972</v>
      </c>
      <c r="C323" s="1" t="s">
        <v>279</v>
      </c>
      <c r="D323" s="1" t="s">
        <v>973</v>
      </c>
      <c r="E323" s="3" t="str">
        <f>IFERROR(__xludf.DUMMYFUNCTION("GOOGLETRANSLATE(D323, ""en"", ""zh-tw"")"),"1. 雙方達成庭外和解。 2. 早期定居者在河邊建立了一個定居點。")</f>
        <v>1. 雙方達成庭外和解。 2. 早期定居者在河邊建立了一個定居點。</v>
      </c>
    </row>
    <row r="324">
      <c r="A324" s="1" t="s">
        <v>974</v>
      </c>
      <c r="B324" s="2" t="s">
        <v>975</v>
      </c>
      <c r="C324" s="1" t="s">
        <v>17</v>
      </c>
      <c r="D324" s="1" t="s">
        <v>976</v>
      </c>
      <c r="E324" s="3" t="str">
        <f>IFERROR(__xludf.DUMMYFUNCTION("GOOGLETRANSLATE(D324, ""en"", ""zh-tw"")"),"1. 請在表格中註明您的性別：男或女。 2. 性教育對青少年很重要。")</f>
        <v>1. 請在表格中註明您的性別：男或女。 2. 性教育對青少年很重要。</v>
      </c>
    </row>
    <row r="325">
      <c r="A325" s="1" t="s">
        <v>977</v>
      </c>
      <c r="B325" s="2" t="s">
        <v>978</v>
      </c>
      <c r="C325" s="1" t="s">
        <v>7</v>
      </c>
      <c r="D325" s="1" t="s">
        <v>979</v>
      </c>
      <c r="E325" s="3" t="str">
        <f>IFERROR(__xludf.DUMMYFUNCTION("GOOGLETRANSLATE(D325, ""en"", ""zh-tw"")"),"1. 他向朋友說謊後感到非常羞恥。 2. 我們沒能去聽音樂會真是太遺憾了。 3. 她試圖讓他感到羞愧，從而讓他道歉。")</f>
        <v>1. 他向朋友說謊後感到非常羞恥。 2. 我們沒能去聽音樂會真是太遺憾了。 3. 她試圖讓他感到羞愧，從而讓他道歉。</v>
      </c>
    </row>
    <row r="326">
      <c r="A326" s="1" t="s">
        <v>980</v>
      </c>
      <c r="B326" s="2" t="s">
        <v>981</v>
      </c>
      <c r="C326" s="1" t="s">
        <v>17</v>
      </c>
      <c r="D326" s="1" t="s">
        <v>982</v>
      </c>
      <c r="E326" s="3" t="str">
        <f>IFERROR(__xludf.DUMMYFUNCTION("GOOGLETRANSLATE(D326, ""en"", ""zh-tw"")"),"1. 螃蟹有堅硬的外殼來保護自己。 2. 士兵們在戰場上發現了一枚未爆炸的砲彈。 3. 她吃花生之前先剝了殼。")</f>
        <v>1. 螃蟹有堅硬的外殼來保護自己。 2. 士兵們在戰場上發現了一枚未爆炸的砲彈。 3. 她吃花生之前先剝了殼。</v>
      </c>
    </row>
    <row r="327">
      <c r="A327" s="1" t="s">
        <v>983</v>
      </c>
      <c r="B327" s="2" t="s">
        <v>984</v>
      </c>
      <c r="C327" s="1" t="s">
        <v>7</v>
      </c>
      <c r="D327" s="1" t="s">
        <v>985</v>
      </c>
      <c r="E327" s="3" t="str">
        <f>IFERROR(__xludf.DUMMYFUNCTION("GOOGLETRANSLATE(D327, ""en"", ""zh-tw"")"),"1. 地震引發的強烈震動損壞了許多建築物。 2. 他突然去世的消息令所有人震驚。 3. 這個噩耗讓她深受打擊。")</f>
        <v>1. 地震引發的強烈震動損壞了許多建築物。 2. 他突然去世的消息令所有人震驚。 3. 這個噩耗讓她深受打擊。</v>
      </c>
    </row>
    <row r="328">
      <c r="A328" s="1" t="s">
        <v>986</v>
      </c>
      <c r="B328" s="2" t="s">
        <v>987</v>
      </c>
      <c r="C328" s="1" t="s">
        <v>17</v>
      </c>
      <c r="D328" s="1" t="s">
        <v>988</v>
      </c>
      <c r="E328" s="3" t="str">
        <f>IFERROR(__xludf.DUMMYFUNCTION("GOOGLETRANSLATE(D328, ""en"", ""zh-tw"")"),"1. 她一箭正中靶心。 2. 獵人開了一槍。 3. 他在最後一刻投進了三分球。")</f>
        <v>1. 她一箭正中靶心。 2. 獵人開了一槍。 3. 他在最後一刻投進了三分球。</v>
      </c>
    </row>
    <row r="329">
      <c r="A329" s="1" t="s">
        <v>989</v>
      </c>
      <c r="B329" s="2" t="s">
        <v>990</v>
      </c>
      <c r="C329" s="1" t="s">
        <v>17</v>
      </c>
      <c r="D329" s="1" t="s">
        <v>991</v>
      </c>
      <c r="E329" s="3" t="str">
        <f>IFERROR(__xludf.DUMMYFUNCTION("GOOGLETRANSLATE(D329, ""en"", ""zh-tw"")"),"1. 你只需按照說明操作即可解決這個問題。 2. 我完全不明白你的意思。")</f>
        <v>1. 你只需按照說明操作即可解決這個問題。 2. 我完全不明白你的意思。</v>
      </c>
    </row>
    <row r="330">
      <c r="A330" s="1" t="s">
        <v>992</v>
      </c>
      <c r="B330" s="2" t="s">
        <v>993</v>
      </c>
      <c r="C330" s="1" t="s">
        <v>7</v>
      </c>
      <c r="D330" s="1" t="s">
        <v>994</v>
      </c>
      <c r="E330" s="3" t="str">
        <f>IFERROR(__xludf.DUMMYFUNCTION("GOOGLETRANSLATE(D330, ""en"", ""zh-tw"")"),"1. 她是一位技藝精湛的木匠，能製作漂亮的家具。 2. 這份工作需要有經驗的熟練工人。")</f>
        <v>1. 她是一位技藝精湛的木匠，能製作漂亮的家具。 2. 這份工作需要有經驗的熟練工人。</v>
      </c>
    </row>
    <row r="331">
      <c r="A331" s="1" t="s">
        <v>995</v>
      </c>
      <c r="B331" s="2" t="s">
        <v>996</v>
      </c>
      <c r="C331" s="1" t="s">
        <v>17</v>
      </c>
      <c r="D331" s="1" t="s">
        <v>997</v>
      </c>
      <c r="E331" s="3" t="str">
        <f>IFERROR(__xludf.DUMMYFUNCTION("GOOGLETRANSLATE(D331, ""en"", ""zh-tw"")"),"1. 注意不要在濕滑的地板上滑倒。")</f>
        <v>1. 注意不要在濕滑的地板上滑倒。</v>
      </c>
    </row>
    <row r="332">
      <c r="A332" s="1" t="s">
        <v>998</v>
      </c>
      <c r="B332" s="2" t="s">
        <v>999</v>
      </c>
      <c r="C332" s="1" t="s">
        <v>17</v>
      </c>
      <c r="D332" s="1" t="s">
        <v>1000</v>
      </c>
      <c r="E332" s="3" t="str">
        <f>IFERROR(__xludf.DUMMYFUNCTION("GOOGLETRANSLATE(D332, ""en"", ""zh-tw"")"),"她下班回家後穿上了拖鞋。")</f>
        <v>她下班回家後穿上了拖鞋。</v>
      </c>
    </row>
    <row r="333">
      <c r="A333" s="1" t="s">
        <v>1001</v>
      </c>
      <c r="B333" s="2" t="s">
        <v>1002</v>
      </c>
      <c r="C333" s="1" t="s">
        <v>17</v>
      </c>
      <c r="D333" s="1" t="s">
        <v>1003</v>
      </c>
      <c r="E333" s="3" t="str">
        <f>IFERROR(__xludf.DUMMYFUNCTION("GOOGLETRANSLATE(D333, ""en"", ""zh-tw"")"),"1. 桌子表面光滑。 2. 會議進行得很順利，沒有任何問題。 3. 她把紙上的褶皺撫平了。")</f>
        <v>1. 桌子表面光滑。 2. 會議進行得很順利，沒有任何問題。 3. 她把紙上的褶皺撫平了。</v>
      </c>
    </row>
    <row r="334">
      <c r="A334" s="1" t="s">
        <v>1004</v>
      </c>
      <c r="B334" s="2" t="s">
        <v>1005</v>
      </c>
      <c r="C334" s="1" t="s">
        <v>17</v>
      </c>
      <c r="D334" s="1" t="s">
        <v>1006</v>
      </c>
      <c r="E334" s="3" t="str">
        <f>IFERROR(__xludf.DUMMYFUNCTION("GOOGLETRANSLATE(D334, ""en"", ""zh-tw"")"),"他買了過冬的新襪子。")</f>
        <v>他買了過冬的新襪子。</v>
      </c>
    </row>
    <row r="335">
      <c r="A335" s="1" t="s">
        <v>1007</v>
      </c>
      <c r="B335" s="2" t="s">
        <v>1008</v>
      </c>
      <c r="C335" s="1" t="s">
        <v>17</v>
      </c>
      <c r="D335" s="1" t="s">
        <v>1009</v>
      </c>
      <c r="E335" s="3" t="str">
        <f>IFERROR(__xludf.DUMMYFUNCTION("GOOGLETRANSLATE(D335, ""en"", ""zh-tw"")"),"這款枕頭非常柔軟舒適。")</f>
        <v>這款枕頭非常柔軟舒適。</v>
      </c>
    </row>
    <row r="336">
      <c r="A336" s="1" t="s">
        <v>1010</v>
      </c>
      <c r="B336" s="2" t="s">
        <v>1011</v>
      </c>
      <c r="C336" s="1" t="s">
        <v>7</v>
      </c>
      <c r="D336" s="1" t="s">
        <v>1012</v>
      </c>
      <c r="E336" s="3" t="str">
        <f>IFERROR(__xludf.DUMMYFUNCTION("GOOGLETRANSLATE(D336, ""en"", ""zh-tw"")"),"1. 植物在肥沃、濕潤的土壤中生長最佳。 2. 粉刷時小心不要弄髒衣服。")</f>
        <v>1. 植物在肥沃、濕潤的土壤中生長最佳。 2. 粉刷時小心不要弄髒衣服。</v>
      </c>
    </row>
    <row r="337">
      <c r="A337" s="1" t="s">
        <v>1013</v>
      </c>
      <c r="B337" s="2" t="s">
        <v>1014</v>
      </c>
      <c r="C337" s="1" t="s">
        <v>7</v>
      </c>
      <c r="D337" s="1" t="s">
        <v>1015</v>
      </c>
      <c r="E337" s="3" t="str">
        <f>IFERROR(__xludf.DUMMYFUNCTION("GOOGLETRANSLATE(D337, ""en"", ""zh-tw"")"),"1. 她終於找到這道數學題的正確答案了。 2. 我們需要盡快解決這個問題。 3. 鹽水是鹽溶於水的溶液。")</f>
        <v>1. 她終於找到這道數學題的正確答案了。 2. 我們需要盡快解決這個問題。 3. 鹽水是鹽溶於水的溶液。</v>
      </c>
    </row>
    <row r="338">
      <c r="A338" s="1" t="s">
        <v>1016</v>
      </c>
      <c r="B338" s="2" t="s">
        <v>1017</v>
      </c>
      <c r="C338" s="1" t="s">
        <v>7</v>
      </c>
      <c r="D338" s="1" t="s">
        <v>1018</v>
      </c>
      <c r="E338" s="3" t="str">
        <f>IFERROR(__xludf.DUMMYFUNCTION("GOOGLETRANSLATE(D338, ""en"", ""zh-tw"")"),"他的反應讓我有些意外。")</f>
        <v>他的反應讓我有些意外。</v>
      </c>
    </row>
    <row r="339">
      <c r="A339" s="1" t="s">
        <v>1019</v>
      </c>
      <c r="B339" s="2" t="s">
        <v>1020</v>
      </c>
      <c r="C339" s="1" t="s">
        <v>17</v>
      </c>
      <c r="D339" s="1" t="s">
        <v>1021</v>
      </c>
      <c r="E339" s="3" t="str">
        <f>IFERROR(__xludf.DUMMYFUNCTION("GOOGLETRANSLATE(D339, ""en"", ""zh-tw"")"),"1. 聚會中形形色色的人都有。 2. 開會前我需要整理一下這些文件。")</f>
        <v>1. 聚會中形形色色的人都有。 2. 開會前我需要整理一下這些文件。</v>
      </c>
    </row>
    <row r="340">
      <c r="A340" s="1" t="s">
        <v>1022</v>
      </c>
      <c r="B340" s="2" t="s">
        <v>1023</v>
      </c>
      <c r="C340" s="1" t="s">
        <v>7</v>
      </c>
      <c r="D340" s="1" t="s">
        <v>1024</v>
      </c>
      <c r="E340" s="3" t="str">
        <f>IFERROR(__xludf.DUMMYFUNCTION("GOOGLETRANSLATE(D340, ""en"", ""zh-tw"")"),"這條河的源頭在高山上。")</f>
        <v>這條河的源頭在高山上。</v>
      </c>
    </row>
    <row r="341">
      <c r="A341" s="1" t="s">
        <v>1025</v>
      </c>
      <c r="B341" s="2" t="s">
        <v>1026</v>
      </c>
      <c r="C341" s="1" t="s">
        <v>17</v>
      </c>
      <c r="D341" s="1" t="s">
        <v>1027</v>
      </c>
      <c r="E341" s="3" t="str">
        <f>IFERROR(__xludf.DUMMYFUNCTION("GOOGLETRANSLATE(D341, ""en"", ""zh-tw"")"),"他住在該國南部。")</f>
        <v>他住在該國南部。</v>
      </c>
    </row>
    <row r="342">
      <c r="A342" s="1" t="s">
        <v>1028</v>
      </c>
      <c r="B342" s="2" t="s">
        <v>1029</v>
      </c>
      <c r="C342" s="1" t="s">
        <v>17</v>
      </c>
      <c r="D342" s="1" t="s">
        <v>1030</v>
      </c>
      <c r="E342" s="3" t="str">
        <f>IFERROR(__xludf.DUMMYFUNCTION("GOOGLETRANSLATE(D342, ""en"", ""zh-tw"")"),"大豆是重要的蛋白質來源。")</f>
        <v>大豆是重要的蛋白質來源。</v>
      </c>
    </row>
    <row r="343">
      <c r="A343" s="1" t="s">
        <v>1031</v>
      </c>
      <c r="B343" s="2" t="s">
        <v>1032</v>
      </c>
      <c r="C343" s="1" t="s">
        <v>17</v>
      </c>
      <c r="D343" s="1" t="s">
        <v>1033</v>
      </c>
      <c r="E343" s="3" t="str">
        <f>IFERROR(__xludf.DUMMYFUNCTION("GOOGLETRANSLATE(D343, ""en"", ""zh-tw"")"),"她的拼字非常好。")</f>
        <v>她的拼字非常好。</v>
      </c>
    </row>
    <row r="344">
      <c r="A344" s="1" t="s">
        <v>1034</v>
      </c>
      <c r="B344" s="2" t="s">
        <v>1035</v>
      </c>
      <c r="C344" s="1" t="s">
        <v>17</v>
      </c>
      <c r="D344" s="1" t="s">
        <v>1036</v>
      </c>
      <c r="E344" s="3" t="str">
        <f>IFERROR(__xludf.DUMMYFUNCTION("GOOGLETRANSLATE(D344, ""en"", ""zh-tw"")"),"足球是世界各地都很受歡迎的運動。")</f>
        <v>足球是世界各地都很受歡迎的運動。</v>
      </c>
    </row>
    <row r="345">
      <c r="A345" s="1" t="s">
        <v>1037</v>
      </c>
      <c r="B345" s="2" t="s">
        <v>1038</v>
      </c>
      <c r="C345" s="1" t="s">
        <v>7</v>
      </c>
      <c r="D345" s="1" t="s">
        <v>1039</v>
      </c>
      <c r="E345" s="3" t="str">
        <f>IFERROR(__xludf.DUMMYFUNCTION("GOOGLETRANSLATE(D345, ""en"", ""zh-tw"")"),"1. 該項目已進入最後階段。 2. 他首次登台演出。 3. 劇團上週上演了一部新劇。 4. 這次抗議活動是由學生組織的。")</f>
        <v>1. 該項目已進入最後階段。 2. 他首次登台演出。 3. 劇團上週上演了一部新劇。 4. 這次抗議活動是由學生組織的。</v>
      </c>
    </row>
    <row r="346">
      <c r="A346" s="1" t="s">
        <v>1040</v>
      </c>
      <c r="B346" s="2" t="s">
        <v>1041</v>
      </c>
      <c r="C346" s="1" t="s">
        <v>7</v>
      </c>
      <c r="D346" s="1" t="s">
        <v>1042</v>
      </c>
      <c r="E346" s="3" t="str">
        <f>IFERROR(__xludf.DUMMYFUNCTION("GOOGLETRANSLATE(D346, ""en"", ""zh-tw"")"),"1. 他開的是普通轎車，不是豪華車。 2. 公司堅持高標準的品質要求。")</f>
        <v>1. 他開的是普通轎車，不是豪華車。 2. 公司堅持高標準的品質要求。</v>
      </c>
    </row>
    <row r="347">
      <c r="A347" s="1" t="s">
        <v>1043</v>
      </c>
      <c r="B347" s="2" t="s">
        <v>1044</v>
      </c>
      <c r="C347" s="1" t="s">
        <v>7</v>
      </c>
      <c r="D347" s="1" t="s">
        <v>1045</v>
      </c>
      <c r="E347" s="3" t="str">
        <f>IFERROR(__xludf.DUMMYFUNCTION("GOOGLETRANSLATE(D347, ""en"", ""zh-tw"")"),"1. 這位政治人物就此事發表了公開聲明。 2. 我昨天在網路上查看了我的銀行帳單。")</f>
        <v>1. 這位政治人物就此事發表了公開聲明。 2. 我昨天在網路上查看了我的銀行帳單。</v>
      </c>
    </row>
    <row r="348">
      <c r="A348" s="1" t="s">
        <v>1046</v>
      </c>
      <c r="B348" s="2" t="s">
        <v>1047</v>
      </c>
      <c r="C348" s="1" t="s">
        <v>7</v>
      </c>
      <c r="D348" s="1" t="s">
        <v>1048</v>
      </c>
      <c r="E348" s="3" t="str">
        <f>IFERROR(__xludf.DUMMYFUNCTION("GOOGLETRANSLATE(D348, ""en"", ""zh-tw"")"),"1. 這座橋是用堅固的鋼材建造的。 2. 她在演講前鼓起勇氣，讓自己鎮定下來。")</f>
        <v>1. 這座橋是用堅固的鋼材建造的。 2. 她在演講前鼓起勇氣，讓自己鎮定下來。</v>
      </c>
    </row>
    <row r="349">
      <c r="A349" s="1" t="s">
        <v>1049</v>
      </c>
      <c r="B349" s="2" t="s">
        <v>1050</v>
      </c>
      <c r="C349" s="1" t="s">
        <v>17</v>
      </c>
      <c r="D349" s="1" t="s">
        <v>1051</v>
      </c>
      <c r="E349" s="3" t="str">
        <f>IFERROR(__xludf.DUMMYFUNCTION("GOOGLETRANSLATE(D349, ""en"", ""zh-tw"")"),"1. 刺插進了他的手指。 2. 她用磁鐵把紙條貼在冰箱上了。 3. 他找到了一根長棍子當助行器。")</f>
        <v>1. 刺插進了他的手指。 2. 她用磁鐵把紙條貼在冰箱上了。 3. 他找到了一根長棍子當助行器。</v>
      </c>
    </row>
    <row r="350">
      <c r="A350" s="1" t="s">
        <v>1052</v>
      </c>
      <c r="B350" s="2" t="s">
        <v>1053</v>
      </c>
      <c r="C350" s="1" t="s">
        <v>7</v>
      </c>
      <c r="D350" s="1" t="s">
        <v>1054</v>
      </c>
      <c r="E350" s="3" t="str">
        <f>IFERROR(__xludf.DUMMYFUNCTION("GOOGLETRANSLATE(D350, ""en"", ""zh-tw"")"),"1. 工作壓力會影響你的健康。 2. 他在演講中強調了誠實的重要性。")</f>
        <v>1. 工作壓力會影響你的健康。 2. 他在演講中強調了誠實的重要性。</v>
      </c>
    </row>
    <row r="351">
      <c r="A351" s="1" t="s">
        <v>1055</v>
      </c>
      <c r="B351" s="2" t="s">
        <v>1056</v>
      </c>
      <c r="C351" s="1" t="s">
        <v>7</v>
      </c>
      <c r="D351" s="1" t="s">
        <v>1057</v>
      </c>
      <c r="E351" s="3" t="str">
        <f>IFERROR(__xludf.DUMMYFUNCTION("GOOGLETRANSLATE(D351, ""en"", ""zh-tw"")"),"1. 這條路綿延數英里，穿過鄉村。 2. 她喜歡在運動前伸展肌肉。")</f>
        <v>1. 這條路綿延數英里，穿過鄉村。 2. 她喜歡在運動前伸展肌肉。</v>
      </c>
    </row>
    <row r="352">
      <c r="A352" s="1" t="s">
        <v>1058</v>
      </c>
      <c r="B352" s="2" t="s">
        <v>1059</v>
      </c>
      <c r="C352" s="1" t="s">
        <v>7</v>
      </c>
      <c r="D352" s="1" t="s">
        <v>1060</v>
      </c>
      <c r="E352" s="3" t="str">
        <f>IFERROR(__xludf.DUMMYFUNCTION("GOOGLETRANSLATE(D352, ""en"", ""zh-tw"")"),"老師對作業截止日期要求非常嚴格。")</f>
        <v>老師對作業截止日期要求非常嚴格。</v>
      </c>
    </row>
    <row r="353">
      <c r="A353" s="1" t="s">
        <v>1061</v>
      </c>
      <c r="B353" s="2" t="s">
        <v>1062</v>
      </c>
      <c r="C353" s="1" t="s">
        <v>7</v>
      </c>
      <c r="D353" s="1" t="s">
        <v>1063</v>
      </c>
      <c r="E353" s="3" t="str">
        <f>IFERROR(__xludf.DUMMYFUNCTION("GOOGLETRANSLATE(D353, ""en"", ""zh-tw"")"),"1. 她努力按時完成作業。 2. 魚兒掙扎著想從漁網裡掙脫出來。 3. 對許多人來說，生活是一場持續不斷的鬥爭。")</f>
        <v>1. 她努力按時完成作業。 2. 魚兒掙扎著想從漁網裡掙脫出來。 3. 對許多人來說，生活是一場持續不斷的鬥爭。</v>
      </c>
    </row>
    <row r="354">
      <c r="A354" s="1" t="s">
        <v>1064</v>
      </c>
      <c r="B354" s="2" t="s">
        <v>1065</v>
      </c>
      <c r="C354" s="1" t="s">
        <v>17</v>
      </c>
      <c r="D354" s="1" t="s">
        <v>1066</v>
      </c>
      <c r="E354" s="3" t="str">
        <f>IFERROR(__xludf.DUMMYFUNCTION("GOOGLETRANSLATE(D354, ""en"", ""zh-tw"")"),"1. 我每天都搭地鐵上班。 2. 倫敦的地鐵系統非常發達。")</f>
        <v>1. 我每天都搭地鐵上班。 2. 倫敦的地鐵系統非常發達。</v>
      </c>
    </row>
    <row r="355">
      <c r="A355" s="1" t="s">
        <v>1067</v>
      </c>
      <c r="B355" s="2" t="s">
        <v>1068</v>
      </c>
      <c r="C355" s="1" t="s">
        <v>7</v>
      </c>
      <c r="D355" s="1" t="s">
        <v>1069</v>
      </c>
      <c r="E355" s="3" t="str">
        <f>IFERROR(__xludf.DUMMYFUNCTION("GOOGLETRANSLATE(D355, ""en"", ""zh-tw"")"),"這條裙子適合正式場合。")</f>
        <v>這條裙子適合正式場合。</v>
      </c>
    </row>
    <row r="356">
      <c r="A356" s="1" t="s">
        <v>1070</v>
      </c>
      <c r="B356" s="2" t="s">
        <v>1071</v>
      </c>
      <c r="C356" s="1" t="s">
        <v>7</v>
      </c>
      <c r="D356" s="1" t="s">
        <v>1072</v>
      </c>
      <c r="E356" s="3" t="str">
        <f>IFERROR(__xludf.DUMMYFUNCTION("GOOGLETRANSLATE(D356, ""en"", ""zh-tw"")"),"1. 這座城市的清潔水資源有限。 2. 這家公司向當地超市供應食物。 3. 如果您要訂購辦公用品，請幫我預留一盒迴紋針和一盒信紙。")</f>
        <v>1. 這座城市的清潔水資源有限。 2. 這家公司向當地超市供應食物。 3. 如果您要訂購辦公用品，請幫我預留一盒迴紋針和一盒信紙。</v>
      </c>
    </row>
    <row r="357">
      <c r="A357" s="1" t="s">
        <v>1073</v>
      </c>
      <c r="B357" s="2" t="s">
        <v>1074</v>
      </c>
      <c r="C357" s="1" t="s">
        <v>7</v>
      </c>
      <c r="D357" s="1" t="s">
        <v>1075</v>
      </c>
      <c r="E357" s="3" t="str">
        <f>IFERROR(__xludf.DUMMYFUNCTION("GOOGLETRANSLATE(D357, ""en"", ""zh-tw"")"),"1. 我想明天會下雨。 2. 假設你中了樂透。 3. 他以為她已經到家了。")</f>
        <v>1. 我想明天會下雨。 2. 假設你中了樂透。 3. 他以為她已經到家了。</v>
      </c>
    </row>
    <row r="358">
      <c r="A358" s="1" t="s">
        <v>1076</v>
      </c>
      <c r="B358" s="2" t="s">
        <v>1077</v>
      </c>
      <c r="C358" s="1" t="s">
        <v>7</v>
      </c>
      <c r="D358" s="1" t="s">
        <v>1078</v>
      </c>
      <c r="E358" s="3" t="str">
        <f>IFERROR(__xludf.DUMMYFUNCTION("GOOGLETRANSLATE(D358, ""en"", ""zh-tw"")"),"1. 水面平靜清澈。 2. 會議期間開始出現問題。 3. 道路表層需要維修。")</f>
        <v>1. 水面平靜清澈。 2. 會議期間開始出現問題。 3. 道路表層需要維修。</v>
      </c>
    </row>
    <row r="359">
      <c r="A359" s="1" t="s">
        <v>1079</v>
      </c>
      <c r="B359" s="2" t="s">
        <v>1080</v>
      </c>
      <c r="C359" s="1" t="s">
        <v>279</v>
      </c>
      <c r="D359" s="1" t="s">
        <v>1081</v>
      </c>
      <c r="E359" s="3" t="str">
        <f>IFERROR(__xludf.DUMMYFUNCTION("GOOGLETRANSLATE(D359, ""en"", ""zh-tw"")"),"1. 他的機智讓他們在荒野中倖存下來。 2. 醫生們盡力挽救病人的生命。")</f>
        <v>1. 他的機智讓他們在荒野中倖存下來。 2. 醫生們盡力挽救病人的生命。</v>
      </c>
    </row>
    <row r="360">
      <c r="A360" s="1" t="s">
        <v>1082</v>
      </c>
      <c r="B360" s="2" t="s">
        <v>1083</v>
      </c>
      <c r="C360" s="1" t="s">
        <v>17</v>
      </c>
      <c r="D360" s="1" t="s">
        <v>1084</v>
      </c>
      <c r="E360" s="3" t="str">
        <f>IFERROR(__xludf.DUMMYFUNCTION("GOOGLETRANSLATE(D360, ""en"", ""zh-tw"")"),"1. 我每天早上都在游泳池游泳。 2. 午餐後我們去游泳吧。")</f>
        <v>1. 我每天早上都在游泳池游泳。 2. 午餐後我們去游泳吧。</v>
      </c>
    </row>
    <row r="361">
      <c r="A361" s="1" t="s">
        <v>1085</v>
      </c>
      <c r="B361" s="2" t="s">
        <v>1086</v>
      </c>
      <c r="C361" s="1" t="s">
        <v>7</v>
      </c>
      <c r="D361" s="1" t="s">
        <v>1087</v>
      </c>
      <c r="E361" s="3" t="str">
        <f>IFERROR(__xludf.DUMMYFUNCTION("GOOGLETRANSLATE(D361, ""en"", ""zh-tw"")"),"1. 按下開關打開燈。 2. 她早上從喝茶改喝咖啡了。 3. 請和我換座位。")</f>
        <v>1. 按下開關打開燈。 2. 她早上從喝茶改喝咖啡了。 3. 請和我換座位。</v>
      </c>
    </row>
    <row r="362">
      <c r="A362" s="1" t="s">
        <v>1088</v>
      </c>
      <c r="B362" s="2" t="s">
        <v>1089</v>
      </c>
      <c r="C362" s="1" t="s">
        <v>17</v>
      </c>
      <c r="D362" s="1" t="s">
        <v>1090</v>
      </c>
      <c r="E362" s="3" t="str">
        <f>IFERROR(__xludf.DUMMYFUNCTION("GOOGLETRANSLATE(D362, ""en"", ""zh-tw"")"),"他給我們講了他海上冒險的故事。")</f>
        <v>他給我們講了他海上冒險的故事。</v>
      </c>
    </row>
    <row r="363">
      <c r="A363" s="1" t="s">
        <v>1091</v>
      </c>
      <c r="B363" s="2" t="s">
        <v>1092</v>
      </c>
      <c r="C363" s="1" t="s">
        <v>7</v>
      </c>
      <c r="D363" s="1" t="s">
        <v>1093</v>
      </c>
      <c r="E363" s="3" t="str">
        <f>IFERROR(__xludf.DUMMYFUNCTION("GOOGLETRANSLATE(D363, ""en"", ""zh-tw"")"),"1. 我們本月的銷售目標是5萬美元。 2. 射箭運動員射中了靶心。 3. 這項競選活動的目標族群是年輕選民。")</f>
        <v>1. 我們本月的銷售目標是5萬美元。 2. 射箭運動員射中了靶心。 3. 這項競選活動的目標族群是年輕選民。</v>
      </c>
    </row>
    <row r="364">
      <c r="A364" s="1" t="s">
        <v>1094</v>
      </c>
      <c r="B364" s="2" t="s">
        <v>1095</v>
      </c>
      <c r="C364" s="1" t="s">
        <v>7</v>
      </c>
      <c r="D364" s="1" t="s">
        <v>1096</v>
      </c>
      <c r="E364" s="3" t="str">
        <f>IFERROR(__xludf.DUMMYFUNCTION("GOOGLETRANSLATE(D364, ""en"", ""zh-tw"")"),"我今天的主要任務是完成這份報告。")</f>
        <v>我今天的主要任務是完成這份報告。</v>
      </c>
    </row>
    <row r="365">
      <c r="A365" s="1" t="s">
        <v>1097</v>
      </c>
      <c r="B365" s="2" t="s">
        <v>1098</v>
      </c>
      <c r="C365" s="1" t="s">
        <v>7</v>
      </c>
      <c r="D365" s="1" t="s">
        <v>1099</v>
      </c>
      <c r="E365" s="3" t="str">
        <f>IFERROR(__xludf.DUMMYFUNCTION("GOOGLETRANSLATE(D365, ""en"", ""zh-tw"")"),"1. 你每年都必須繳所得稅。 2. 政府對進口商品課稅。")</f>
        <v>1. 你每年都必須繳所得稅。 2. 政府對進口商品課稅。</v>
      </c>
    </row>
    <row r="366">
      <c r="A366" s="1" t="s">
        <v>1100</v>
      </c>
      <c r="B366" s="2" t="s">
        <v>1101</v>
      </c>
      <c r="C366" s="1" t="s">
        <v>7</v>
      </c>
      <c r="D366" s="1" t="s">
        <v>1102</v>
      </c>
      <c r="E366" s="3" t="str">
        <f>IFERROR(__xludf.DUMMYFUNCTION("GOOGLETRANSLATE(D366, ""en"", ""zh-tw"")"),"1. 現代科技改變了我們的溝通方式。 2. 該公司正在開發再生能源新技術。")</f>
        <v>1. 現代科技改變了我們的溝通方式。 2. 該公司正在開發再生能源新技術。</v>
      </c>
    </row>
    <row r="367">
      <c r="A367" s="1" t="s">
        <v>1103</v>
      </c>
      <c r="B367" s="2" t="s">
        <v>1104</v>
      </c>
      <c r="C367" s="1" t="s">
        <v>17</v>
      </c>
      <c r="D367" s="1" t="s">
        <v>1105</v>
      </c>
      <c r="E367" s="3" t="str">
        <f>IFERROR(__xludf.DUMMYFUNCTION("GOOGLETRANSLATE(D367, ""en"", ""zh-tw"")"),"他十幾歲時學會了彈吉他。")</f>
        <v>他十幾歲時學會了彈吉他。</v>
      </c>
    </row>
    <row r="368">
      <c r="A368" s="1" t="s">
        <v>1106</v>
      </c>
      <c r="B368" s="2" t="s">
        <v>1107</v>
      </c>
      <c r="C368" s="1" t="s">
        <v>279</v>
      </c>
      <c r="D368" s="1" t="s">
        <v>1108</v>
      </c>
      <c r="E368" s="3" t="str">
        <f>IFERROR(__xludf.DUMMYFUNCTION("GOOGLETRANSLATE(D368, ""en"", ""zh-tw"")"),"政府正在採取強有力的措施打擊恐怖主義。")</f>
        <v>政府正在採取強有力的措施打擊恐怖主義。</v>
      </c>
    </row>
    <row r="369">
      <c r="A369" s="1" t="s">
        <v>1109</v>
      </c>
      <c r="B369" s="2" t="s">
        <v>1110</v>
      </c>
      <c r="C369" s="1" t="s">
        <v>279</v>
      </c>
      <c r="D369" s="1" t="s">
        <v>1111</v>
      </c>
      <c r="E369" s="3" t="str">
        <f>IFERROR(__xludf.DUMMYFUNCTION("GOOGLETRANSLATE(D369, ""en"", ""zh-tw"")"),"恐怖分子已被當局逮捕。")</f>
        <v>恐怖分子已被當局逮捕。</v>
      </c>
    </row>
    <row r="370">
      <c r="A370" s="1" t="s">
        <v>1112</v>
      </c>
      <c r="B370" s="2" t="s">
        <v>1113</v>
      </c>
      <c r="C370" s="1" t="s">
        <v>17</v>
      </c>
      <c r="D370" s="1" t="s">
        <v>1114</v>
      </c>
      <c r="E370" s="3" t="str">
        <f>IFERROR(__xludf.DUMMYFUNCTION("GOOGLETRANSLATE(D370, ""en"", ""zh-tw"")"),"1. 我在網路上閱讀了演講稿。 2. 我稍後會把詳細資料傳簡訊給你。")</f>
        <v>1. 我在網路上閱讀了演講稿。 2. 我稍後會把詳細資料傳簡訊給你。</v>
      </c>
    </row>
    <row r="371">
      <c r="A371" s="1" t="s">
        <v>1115</v>
      </c>
      <c r="B371" s="2" t="s">
        <v>1116</v>
      </c>
      <c r="C371" s="1" t="s">
        <v>7</v>
      </c>
      <c r="D371" s="1" t="s">
        <v>1117</v>
      </c>
      <c r="E371" s="3" t="str">
        <f>IFERROR(__xludf.DUMMYFUNCTION("GOOGLETRANSLATE(D371, ""en"", ""zh-tw"")"),"1. 全城都慶祝了這個節日。 2. 她一年到頭都在努力工作。")</f>
        <v>1. 全城都慶祝了這個節日。 2. 她一年到頭都在努力工作。</v>
      </c>
    </row>
    <row r="372">
      <c r="A372" s="1" t="s">
        <v>1118</v>
      </c>
      <c r="B372" s="2" t="s">
        <v>1119</v>
      </c>
      <c r="C372" s="1" t="s">
        <v>279</v>
      </c>
      <c r="D372" s="1" t="s">
        <v>1120</v>
      </c>
      <c r="E372" s="3" t="str">
        <f>IFERROR(__xludf.DUMMYFUNCTION("GOOGLETRANSLATE(D372, ""en"", ""zh-tw"")"),"由於證據不足，該案被駁回。")</f>
        <v>由於證據不足，該案被駁回。</v>
      </c>
    </row>
    <row r="373">
      <c r="A373" s="1" t="s">
        <v>1121</v>
      </c>
      <c r="B373" s="2" t="s">
        <v>1122</v>
      </c>
      <c r="C373" s="1" t="s">
        <v>17</v>
      </c>
      <c r="D373" s="1" t="s">
        <v>1123</v>
      </c>
      <c r="E373" s="3" t="str">
        <f>IFERROR(__xludf.DUMMYFUNCTION("GOOGLETRANSLATE(D373, ""en"", ""zh-tw"")"),"1. 長時間步行會讓人很快感到疲憊。 2. 我的車需要換個新輪胎。")</f>
        <v>1. 長時間步行會讓人很快感到疲憊。 2. 我的車需要換個新輪胎。</v>
      </c>
    </row>
    <row r="374">
      <c r="A374" s="1" t="s">
        <v>1124</v>
      </c>
      <c r="B374" s="2" t="s">
        <v>1125</v>
      </c>
      <c r="C374" s="1" t="s">
        <v>17</v>
      </c>
      <c r="D374" s="1" t="s">
        <v>1126</v>
      </c>
      <c r="E374" s="3" t="str">
        <f>IFERROR(__xludf.DUMMYFUNCTION("GOOGLETRANSLATE(D374, ""en"", ""zh-tw"")"),"1. 能遞給我一張紙巾嗎？我要擤鼻涕。 2. 醫生取了組織樣本進行化驗。")</f>
        <v>1. 能遞給我一張紙巾嗎？我要擤鼻涕。 2. 醫生取了組織樣本進行化驗。</v>
      </c>
    </row>
    <row r="375">
      <c r="A375" s="1" t="s">
        <v>1127</v>
      </c>
      <c r="B375" s="2" t="s">
        <v>1128</v>
      </c>
      <c r="C375" s="1" t="s">
        <v>7</v>
      </c>
      <c r="D375" s="1" t="s">
        <v>1129</v>
      </c>
      <c r="E375" s="3" t="str">
        <f>IFERROR(__xludf.DUMMYFUNCTION("GOOGLETRANSLATE(D375, ""en"", ""zh-tw"")"),"她的語氣表明她很沮喪。")</f>
        <v>她的語氣表明她很沮喪。</v>
      </c>
    </row>
    <row r="376">
      <c r="A376" s="1" t="s">
        <v>1130</v>
      </c>
      <c r="B376" s="2" t="s">
        <v>1131</v>
      </c>
      <c r="C376" s="1" t="s">
        <v>17</v>
      </c>
      <c r="D376" s="1" t="s">
        <v>1132</v>
      </c>
      <c r="E376" s="3" t="str">
        <f>IFERROR(__xludf.DUMMYFUNCTION("GOOGLETRANSLATE(D376, ""en"", ""zh-tw"")"),"1. 我們去年夏天去義大利旅遊了。 2. 這支樂團明年將進行世界巡迴演出。 3. 他們搭火車遊覽了歐洲。")</f>
        <v>1. 我們去年夏天去義大利旅遊了。 2. 這支樂團明年將進行世界巡迴演出。 3. 他們搭火車遊覽了歐洲。</v>
      </c>
    </row>
    <row r="377">
      <c r="A377" s="1" t="s">
        <v>1133</v>
      </c>
      <c r="B377" s="2" t="s">
        <v>1134</v>
      </c>
      <c r="C377" s="1" t="s">
        <v>17</v>
      </c>
      <c r="D377" s="1" t="s">
        <v>1135</v>
      </c>
      <c r="E377" s="3" t="str">
        <f>IFERROR(__xludf.DUMMYFUNCTION("GOOGLETRANSLATE(D377, ""en"", ""zh-tw"")"),"1. 她走向門口。 2. 我們正邁向更清潔的能源未來。 3. 他對工作態度積極。")</f>
        <v>1. 她走向門口。 2. 我們正邁向更清潔的能源未來。 3. 他對工作態度積極。</v>
      </c>
    </row>
    <row r="378">
      <c r="A378" s="1" t="s">
        <v>1136</v>
      </c>
      <c r="B378" s="2" t="s">
        <v>1137</v>
      </c>
      <c r="C378" s="1" t="s">
        <v>7</v>
      </c>
      <c r="D378" s="1" t="s">
        <v>1138</v>
      </c>
      <c r="E378" s="3" t="str">
        <f>IFERROR(__xludf.DUMMYFUNCTION("GOOGLETRANSLATE(D378, ""en"", ""zh-tw"")"),"警方正在追捕嫌疑犯。")</f>
        <v>警方正在追捕嫌疑犯。</v>
      </c>
    </row>
    <row r="379">
      <c r="A379" s="1" t="s">
        <v>1139</v>
      </c>
      <c r="B379" s="2" t="s">
        <v>1140</v>
      </c>
      <c r="C379" s="1" t="s">
        <v>279</v>
      </c>
      <c r="D379" s="1" t="s">
        <v>1141</v>
      </c>
      <c r="E379" s="3" t="str">
        <f>IFERROR(__xludf.DUMMYFUNCTION("GOOGLETRANSLATE(D379, ""en"", ""zh-tw"")"),"1. 您可以免費試用該軟體7天。 2. 這起謀殺案將於下個月開庭審理。 3. 冬季登山真是嚴峻的考驗。")</f>
        <v>1. 您可以免費試用該軟體7天。 2. 這起謀殺案將於下個月開庭審理。 3. 冬季登山真是嚴峻的考驗。</v>
      </c>
    </row>
    <row r="380">
      <c r="A380" s="1" t="s">
        <v>1142</v>
      </c>
      <c r="B380" s="2" t="s">
        <v>1143</v>
      </c>
      <c r="C380" s="1" t="s">
        <v>7</v>
      </c>
      <c r="D380" s="1" t="s">
        <v>1144</v>
      </c>
      <c r="E380" s="3" t="str">
        <f>IFERROR(__xludf.DUMMYFUNCTION("GOOGLETRANSLATE(D380, ""en"", ""zh-tw"")"),"1. 這幅畫是他早期作品的典型代表。 2. 她常常遲到。 3. 這裡夏季炎熱潮濕的天氣很典型。")</f>
        <v>1. 這幅畫是他早期作品的典型代表。 2. 她常常遲到。 3. 這裡夏季炎熱潮濕的天氣很典型。</v>
      </c>
    </row>
    <row r="381">
      <c r="A381" s="1" t="s">
        <v>1145</v>
      </c>
      <c r="B381" s="2" t="s">
        <v>1146</v>
      </c>
      <c r="C381" s="1" t="s">
        <v>7</v>
      </c>
      <c r="D381" s="1" t="s">
        <v>1147</v>
      </c>
      <c r="E381" s="3" t="str">
        <f>IFERROR(__xludf.DUMMYFUNCTION("GOOGLETRANSLATE(D381, ""en"", ""zh-tw"")"),"1. 長度以公尺為單位測量，公尺是常用的長度單位。 2. 這本教科書分為十個單元。 3. 這支部隊被部署到海外。 4. 她剛在市中心買了一間新公寓。")</f>
        <v>1. 長度以公尺為單位測量，公尺是常用的長度單位。 2. 這本教科書分為十個單元。 3. 這支部隊被部署到海外。 4. 她剛在市中心買了一間新公寓。</v>
      </c>
    </row>
    <row r="382">
      <c r="A382" s="1" t="s">
        <v>1148</v>
      </c>
      <c r="B382" s="2" t="s">
        <v>1149</v>
      </c>
      <c r="C382" s="1" t="s">
        <v>17</v>
      </c>
      <c r="D382" s="1" t="s">
        <v>1150</v>
      </c>
      <c r="E382" s="3" t="str">
        <f>IFERROR(__xludf.DUMMYFUNCTION("GOOGLETRANSLATE(D382, ""en"", ""zh-tw"")"),"你不努力學習就考不過。")</f>
        <v>你不努力學習就考不過。</v>
      </c>
    </row>
    <row r="383">
      <c r="A383" s="1" t="s">
        <v>1151</v>
      </c>
      <c r="B383" s="2" t="s">
        <v>1152</v>
      </c>
      <c r="C383" s="1" t="s">
        <v>17</v>
      </c>
      <c r="D383" s="1" t="s">
        <v>1153</v>
      </c>
      <c r="E383" s="3" t="str">
        <f>IFERROR(__xludf.DUMMYFUNCTION("GOOGLETRANSLATE(D383, ""en"", ""zh-tw"")"),"1. 她對這個壞消息非常難過。 2. 他因為和朋友的爭吵而感到沮喪。 3. 這個意想不到的結果讓每個人都感到沮喪。 4. 這支球隊在冠軍賽中遭遇了爆冷。")</f>
        <v>1. 她對這個壞消息非常難過。 2. 他因為和朋友的爭吵而感到沮喪。 3. 這個意想不到的結果讓每個人都感到沮喪。 4. 這支球隊在冠軍賽中遭遇了爆冷。</v>
      </c>
    </row>
    <row r="384">
      <c r="A384" s="1" t="s">
        <v>1154</v>
      </c>
      <c r="B384" s="2" t="s">
        <v>1155</v>
      </c>
      <c r="C384" s="1" t="s">
        <v>17</v>
      </c>
      <c r="D384" s="1" t="s">
        <v>1156</v>
      </c>
      <c r="E384" s="3" t="str">
        <f>IFERROR(__xludf.DUMMYFUNCTION("GOOGLETRANSLATE(D384, ""en"", ""zh-tw"")"),"我上週買了一輛二手車。")</f>
        <v>我上週買了一輛二手車。</v>
      </c>
    </row>
    <row r="385">
      <c r="A385" s="1" t="s">
        <v>1157</v>
      </c>
      <c r="B385" s="2" t="s">
        <v>1158</v>
      </c>
      <c r="C385" s="1" t="s">
        <v>17</v>
      </c>
      <c r="D385" s="1" t="s">
        <v>1159</v>
      </c>
      <c r="E385" s="3" t="str">
        <f>IFERROR(__xludf.DUMMYFUNCTION("GOOGLETRANSLATE(D385, ""en"", ""zh-tw"")"),"用戶已登入系統。")</f>
        <v>用戶已登入系統。</v>
      </c>
    </row>
    <row r="386">
      <c r="A386" s="1" t="s">
        <v>1160</v>
      </c>
      <c r="B386" s="2" t="s">
        <v>1161</v>
      </c>
      <c r="C386" s="1" t="s">
        <v>17</v>
      </c>
      <c r="D386" s="1" t="s">
        <v>1162</v>
      </c>
      <c r="E386" s="3" t="str">
        <f>IFERROR(__xludf.DUMMYFUNCTION("GOOGLETRANSLATE(D386, ""en"", ""zh-tw"")"),"1. 這間飯店房間可以欣賞到美麗的海景。 2. 我認為我們應該再等一段時間。 3. 我們昨晚看了這部電影。 4. 委員會對這項提案持正面態度。")</f>
        <v>1. 這間飯店房間可以欣賞到美麗的海景。 2. 我認為我們應該再等一段時間。 3. 我們昨晚看了這部電影。 4. 委員會對這項提案持正面態度。</v>
      </c>
    </row>
    <row r="387">
      <c r="A387" s="1" t="s">
        <v>1163</v>
      </c>
      <c r="B387" s="2" t="s">
        <v>1164</v>
      </c>
      <c r="C387" s="1" t="s">
        <v>17</v>
      </c>
      <c r="D387" s="1" t="s">
        <v>1165</v>
      </c>
      <c r="E387" s="3" t="str">
        <f>IFERROR(__xludf.DUMMYFUNCTION("GOOGLETRANSLATE(D387, ""en"", ""zh-tw"")"),"服務生很快就把菜單拿來了。")</f>
        <v>服務生很快就把菜單拿來了。</v>
      </c>
    </row>
    <row r="388">
      <c r="A388" s="1" t="s">
        <v>1166</v>
      </c>
      <c r="B388" s="2" t="s">
        <v>1167</v>
      </c>
      <c r="C388" s="1" t="s">
        <v>7</v>
      </c>
      <c r="D388" s="1" t="s">
        <v>1168</v>
      </c>
      <c r="E388" s="3" t="str">
        <f>IFERROR(__xludf.DUMMYFUNCTION("GOOGLETRANSLATE(D388, ""en"", ""zh-tw"")"),"1. 他繼承了家族的一大筆財富。 2. 該國的自然財富包括森林和礦產資源。")</f>
        <v>1. 他繼承了家族的一大筆財富。 2. 該國的自然財富包括森林和礦產資源。</v>
      </c>
    </row>
    <row r="389">
      <c r="A389" s="1" t="s">
        <v>1169</v>
      </c>
      <c r="B389" s="2" t="s">
        <v>1170</v>
      </c>
      <c r="C389" s="1" t="s">
        <v>17</v>
      </c>
      <c r="D389" s="1" t="s">
        <v>1171</v>
      </c>
      <c r="E389" s="3" t="str">
        <f>IFERROR(__xludf.DUMMYFUNCTION("GOOGLETRANSLATE(D389, ""en"", ""zh-tw"")"),"1. 請在去機場前秤行李重量。 2. 做決定前應該要權衡利弊。")</f>
        <v>1. 請在去機場前秤行李重量。 2. 做決定前應該要權衡利弊。</v>
      </c>
    </row>
    <row r="390">
      <c r="A390" s="1" t="s">
        <v>1172</v>
      </c>
      <c r="B390" s="2" t="s">
        <v>1173</v>
      </c>
      <c r="C390" s="1" t="s">
        <v>17</v>
      </c>
      <c r="D390" s="1" t="s">
        <v>1174</v>
      </c>
      <c r="E390" s="3" t="str">
        <f>IFERROR(__xludf.DUMMYFUNCTION("GOOGLETRANSLATE(D390, ""en"", ""zh-tw"")"),"他們搬到了美國西部的一個州。")</f>
        <v>他們搬到了美國西部的一個州。</v>
      </c>
    </row>
    <row r="391">
      <c r="A391" s="1" t="s">
        <v>1175</v>
      </c>
      <c r="B391" s="2" t="s">
        <v>1176</v>
      </c>
      <c r="C391" s="1" t="s">
        <v>17</v>
      </c>
      <c r="D391" s="1" t="s">
        <v>1177</v>
      </c>
      <c r="E391" s="3" t="str">
        <f>IFERROR(__xludf.DUMMYFUNCTION("GOOGLETRANSLATE(D391, ""en"", ""zh-tw"")"),"1. 從冰箱裡拿你想要的任何東西。 2. 無論發生什麼，都要保持冷靜。")</f>
        <v>1. 從冰箱裡拿你想要的任何東西。 2. 無論發生什麼，都要保持冷靜。</v>
      </c>
    </row>
    <row r="392">
      <c r="A392" s="1" t="s">
        <v>1178</v>
      </c>
      <c r="B392" s="2" t="s">
        <v>1179</v>
      </c>
      <c r="C392" s="1" t="s">
        <v>17</v>
      </c>
      <c r="D392" s="1" t="s">
        <v>1180</v>
      </c>
      <c r="E392" s="3" t="str">
        <f>IFERROR(__xludf.DUMMYFUNCTION("GOOGLETRANSLATE(D392, ""en"", ""zh-tw"")"),"1. 你需要幫忙的時候隨時可以打電話給我。 2. 每次見到她，她總是面帶微笑。")</f>
        <v>1. 你需要幫忙的時候隨時可以打電話給我。 2. 每次見到她，她總是面帶微笑。</v>
      </c>
    </row>
    <row r="393">
      <c r="A393" s="1" t="s">
        <v>1181</v>
      </c>
      <c r="B393" s="2" t="s">
        <v>1182</v>
      </c>
      <c r="C393" s="1" t="s">
        <v>17</v>
      </c>
      <c r="D393" s="1" t="s">
        <v>1183</v>
      </c>
      <c r="E393" s="3" t="str">
        <f>IFERROR(__xludf.DUMMYFUNCTION("GOOGLETRANSLATE(D393, ""en"", ""zh-tw"")"),"1. 你可以隨便坐。 2. 他無論走到哪裡，都能輕易交到朋友。")</f>
        <v>1. 你可以隨便坐。 2. 他無論走到哪裡，都能輕易交到朋友。</v>
      </c>
    </row>
    <row r="394">
      <c r="A394" s="1" t="s">
        <v>1184</v>
      </c>
      <c r="B394" s="2" t="s">
        <v>1185</v>
      </c>
      <c r="C394" s="1" t="s">
        <v>17</v>
      </c>
      <c r="D394" s="1" t="s">
        <v>1186</v>
      </c>
      <c r="E394" s="3" t="str">
        <f>IFERROR(__xludf.DUMMYFUNCTION("GOOGLETRANSLATE(D394, ""en"", ""zh-tw"")"),"1. 我聽到門後傳來低語聲。 2. 她悄悄地把一個秘密告訴了她的朋友。")</f>
        <v>1. 我聽到門後傳來低語聲。 2. 她悄悄地把一個秘密告訴了她的朋友。</v>
      </c>
    </row>
    <row r="395">
      <c r="A395" s="1" t="s">
        <v>1187</v>
      </c>
      <c r="B395" s="2" t="s">
        <v>1188</v>
      </c>
      <c r="C395" s="1" t="s">
        <v>7</v>
      </c>
      <c r="D395" s="1" t="s">
        <v>1189</v>
      </c>
      <c r="E395" s="3" t="str">
        <f>IFERROR(__xludf.DUMMYFUNCTION("GOOGLETRANSLATE(D395, ""en"", ""zh-tw"")"),"第一個到達的人將獲得獎品。")</f>
        <v>第一個到達的人將獲得獎品。</v>
      </c>
    </row>
    <row r="396">
      <c r="A396" s="1" t="s">
        <v>1190</v>
      </c>
      <c r="B396" s="2" t="s">
        <v>1191</v>
      </c>
      <c r="C396" s="1" t="s">
        <v>7</v>
      </c>
      <c r="D396" s="1" t="s">
        <v>1192</v>
      </c>
      <c r="E396" s="3" t="str">
        <f>IFERROR(__xludf.DUMMYFUNCTION("GOOGLETRANSLATE(D396, ""en"", ""zh-tw"")"),"桌子的寬度是兩公尺。")</f>
        <v>桌子的寬度是兩公尺。</v>
      </c>
    </row>
    <row r="397">
      <c r="A397" s="1" t="s">
        <v>1193</v>
      </c>
      <c r="B397" s="2" t="s">
        <v>1194</v>
      </c>
      <c r="C397" s="1" t="s">
        <v>7</v>
      </c>
      <c r="D397" s="1" t="s">
        <v>1195</v>
      </c>
      <c r="E397" s="3" t="str">
        <f>IFERROR(__xludf.DUMMYFUNCTION("GOOGLETRANSLATE(D397, ""en"", ""zh-tw"")"),"她願意協助這個計畫。")</f>
        <v>她願意協助這個計畫。</v>
      </c>
    </row>
    <row r="398">
      <c r="A398" s="1" t="s">
        <v>1196</v>
      </c>
      <c r="B398" s="2" t="s">
        <v>1197</v>
      </c>
      <c r="C398" s="1" t="s">
        <v>17</v>
      </c>
      <c r="D398" s="1" t="s">
        <v>1198</v>
      </c>
      <c r="E398" s="3" t="str">
        <f>IFERROR(__xludf.DUMMYFUNCTION("GOOGLETRANSLATE(D398, ""en"", ""zh-tw"")"),"他們晚餐時喝了紅酒。")</f>
        <v>他們晚餐時喝了紅酒。</v>
      </c>
    </row>
    <row r="399">
      <c r="A399" s="1" t="s">
        <v>1199</v>
      </c>
      <c r="B399" s="2" t="s">
        <v>1200</v>
      </c>
      <c r="C399" s="1" t="s">
        <v>17</v>
      </c>
      <c r="D399" s="1" t="s">
        <v>1201</v>
      </c>
      <c r="E399" s="3" t="str">
        <f>IFERROR(__xludf.DUMMYFUNCTION("GOOGLETRANSLATE(D399, ""en"", ""zh-tw"")"),"1. 電工修好了斷掉的電線。 2. 他們為新房子安裝了網路線路。")</f>
        <v>1. 電工修好了斷掉的電線。 2. 他們為新房子安裝了網路線路。</v>
      </c>
    </row>
    <row r="400">
      <c r="A400" s="1" t="s">
        <v>1202</v>
      </c>
      <c r="B400" s="2" t="s">
        <v>1203</v>
      </c>
      <c r="C400" s="1" t="s">
        <v>7</v>
      </c>
      <c r="D400" s="1" t="s">
        <v>1204</v>
      </c>
      <c r="E400" s="3" t="str">
        <f>IFERROR(__xludf.DUMMYFUNCTION("GOOGLETRANSLATE(D400, ""en"", ""zh-tw"")"),"1. 請在兩天內完成任務。 2. 大樓內禁止吸煙。")</f>
        <v>1. 請在兩天內完成任務。 2. 大樓內禁止吸煙。</v>
      </c>
    </row>
    <row r="401">
      <c r="A401" s="1" t="s">
        <v>1205</v>
      </c>
      <c r="B401" s="2" t="s">
        <v>1206</v>
      </c>
      <c r="C401" s="1" t="s">
        <v>17</v>
      </c>
      <c r="D401" s="1" t="s">
        <v>1207</v>
      </c>
      <c r="E401" s="3" t="str">
        <f>IFERROR(__xludf.DUMMYFUNCTION("GOOGLETRANSLATE(D401, ""en"", ""zh-tw"")"),"1. 我想知道明天會不會下雨。 2. 所有人都從這場意外中倖存下來，真是個奇蹟。")</f>
        <v>1. 我想知道明天會不會下雨。 2. 所有人都從這場意外中倖存下來，真是個奇蹟。</v>
      </c>
    </row>
    <row r="402">
      <c r="A402" s="1" t="s">
        <v>1208</v>
      </c>
      <c r="B402" s="2" t="s">
        <v>1209</v>
      </c>
      <c r="C402" s="1" t="s">
        <v>17</v>
      </c>
      <c r="D402" s="1" t="s">
        <v>1210</v>
      </c>
      <c r="E402" s="3" t="str">
        <f>IFERROR(__xludf.DUMMYFUNCTION("GOOGLETRANSLATE(D402, ""en"", ""zh-tw"")"),"1. 這張桌子是木製的。 2. 我們上週末去樹林裡健行了。")</f>
        <v>1. 這張桌子是木製的。 2. 我們上週末去樹林裡健行了。</v>
      </c>
    </row>
    <row r="403">
      <c r="A403" s="1" t="s">
        <v>1211</v>
      </c>
      <c r="B403" s="2" t="s">
        <v>1212</v>
      </c>
      <c r="C403" s="1" t="s">
        <v>17</v>
      </c>
      <c r="D403" s="1" t="s">
        <v>1213</v>
      </c>
      <c r="E403" s="3" t="str">
        <f>IFERROR(__xludf.DUMMYFUNCTION("GOOGLETRANSLATE(D403, ""en"", ""zh-tw"")"),"他們買了一張木椅放在餐廳裡。")</f>
        <v>他們買了一張木椅放在餐廳裡。</v>
      </c>
    </row>
    <row r="404">
      <c r="A404" s="1" t="s">
        <v>1214</v>
      </c>
      <c r="B404" s="2" t="s">
        <v>1215</v>
      </c>
      <c r="C404" s="1" t="s">
        <v>17</v>
      </c>
      <c r="D404" s="1" t="s">
        <v>1216</v>
      </c>
      <c r="E404" s="3" t="str">
        <f>IFERROR(__xludf.DUMMYFUNCTION("GOOGLETRANSLATE(D404, ""en"", ""zh-tw"")"),"她穿著一件溫暖的羊毛衫。")</f>
        <v>她穿著一件溫暖的羊毛衫。</v>
      </c>
    </row>
    <row r="405">
      <c r="A405" s="1" t="s">
        <v>1217</v>
      </c>
      <c r="B405" s="2" t="s">
        <v>1218</v>
      </c>
      <c r="C405" s="1" t="s">
        <v>17</v>
      </c>
      <c r="D405" s="1" t="s">
        <v>1219</v>
      </c>
      <c r="E405" s="3" t="str">
        <f>IFERROR(__xludf.DUMMYFUNCTION("GOOGLETRANSLATE(D405, ""en"", ""zh-tw"")"),"1. 他的身體狀況越來越差。 2. 情況每況愈下。")</f>
        <v>1. 他的身體狀況越來越差。 2. 情況每況愈下。</v>
      </c>
    </row>
    <row r="406">
      <c r="A406" s="1" t="s">
        <v>1220</v>
      </c>
      <c r="B406" s="2" t="s">
        <v>1221</v>
      </c>
      <c r="C406" s="1" t="s">
        <v>17</v>
      </c>
      <c r="D406" s="1" t="s">
        <v>1222</v>
      </c>
      <c r="E406" s="3" t="str">
        <f>IFERROR(__xludf.DUMMYFUNCTION("GOOGLETRANSLATE(D406, ""en"", ""zh-tw"")"),"1. 這是我人生中最糟糕的一天。 2. 他在比賽中表現最差。 3. 做好最壞的打算。")</f>
        <v>1. 這是我人生中最糟糕的一天。 2. 他在比賽中表現最差。 3. 做好最壞的打算。</v>
      </c>
    </row>
    <row r="407">
      <c r="A407" s="1" t="s">
        <v>1223</v>
      </c>
      <c r="B407" s="2" t="s">
        <v>1224</v>
      </c>
      <c r="C407" s="1" t="s">
        <v>7</v>
      </c>
      <c r="D407" s="1" t="s">
        <v>1225</v>
      </c>
      <c r="E407" s="3" t="str">
        <f>IFERROR(__xludf.DUMMYFUNCTION("GOOGLETRANSLATE(D407, ""en"", ""zh-tw"")"),"1. 這本書值得一讀。 2. 這幅畫很有價值。")</f>
        <v>1. 這本書值得一讀。 2. 這幅畫很有價值。</v>
      </c>
    </row>
    <row r="408">
      <c r="A408" s="1" t="s">
        <v>1226</v>
      </c>
      <c r="B408" s="2" t="s">
        <v>1227</v>
      </c>
      <c r="C408" s="1" t="s">
        <v>17</v>
      </c>
      <c r="D408" s="1" t="s">
        <v>1228</v>
      </c>
      <c r="E408" s="3" t="str">
        <f>IFERROR(__xludf.DUMMYFUNCTION("GOOGLETRANSLATE(D408, ""en"", ""zh-tw"")"),"山藥在許多國家都是一種很受歡迎的食物。")</f>
        <v>山藥在許多國家都是一種很受歡迎的食物。</v>
      </c>
    </row>
    <row r="409">
      <c r="A409" s="1" t="s">
        <v>1229</v>
      </c>
      <c r="B409" s="2" t="s">
        <v>1230</v>
      </c>
      <c r="C409" s="1" t="s">
        <v>7</v>
      </c>
      <c r="D409" s="1" t="s">
        <v>1231</v>
      </c>
      <c r="E409" s="3" t="str">
        <f>IFERROR(__xludf.DUMMYFUNCTION("GOOGLETRANSLATE(D409, ""en"", ""zh-tw"")"),"1. 船上有300人。 2. 所有乘客必須在火車出發前上車。")</f>
        <v>1. 船上有300人。 2. 所有乘客必須在火車出發前上車。</v>
      </c>
    </row>
    <row r="410">
      <c r="A410" s="1" t="s">
        <v>1232</v>
      </c>
      <c r="B410" s="2" t="s">
        <v>1233</v>
      </c>
      <c r="C410" s="1" t="s">
        <v>7</v>
      </c>
      <c r="D410" s="1" t="s">
        <v>1234</v>
      </c>
      <c r="E410" s="3" t="str">
        <f>IFERROR(__xludf.DUMMYFUNCTION("GOOGLETRANSLATE(D410, ""en"", ""zh-tw"")"),"你的行為在課堂上是不可接受的。")</f>
        <v>你的行為在課堂上是不可接受的。</v>
      </c>
    </row>
    <row r="411">
      <c r="A411" s="1" t="s">
        <v>1235</v>
      </c>
      <c r="B411" s="2" t="s">
        <v>1236</v>
      </c>
      <c r="C411" s="1" t="s">
        <v>279</v>
      </c>
      <c r="D411" s="1" t="s">
        <v>1237</v>
      </c>
      <c r="E411" s="3" t="str">
        <f>IFERROR(__xludf.DUMMYFUNCTION("GOOGLETRANSLATE(D411, ""en"", ""zh-tw"")"),"這位科學家對實驗進行了準確的描述。")</f>
        <v>這位科學家對實驗進行了準確的描述。</v>
      </c>
    </row>
    <row r="412">
      <c r="A412" s="1" t="s">
        <v>1238</v>
      </c>
      <c r="B412" s="2" t="s">
        <v>1239</v>
      </c>
      <c r="C412" s="1" t="s">
        <v>17</v>
      </c>
      <c r="D412" s="1" t="s">
        <v>1240</v>
      </c>
      <c r="E412" s="3" t="str">
        <f>IFERROR(__xludf.DUMMYFUNCTION("GOOGLETRANSLATE(D412, ""en"", ""zh-tw"")"),"1. 久坐後，我的背部隱隱作痛。 2. 長跑後，我的肌肉酸痛。")</f>
        <v>1. 久坐後，我的背部隱隱作痛。 2. 長跑後，我的肌肉酸痛。</v>
      </c>
    </row>
    <row r="413">
      <c r="A413" s="1" t="s">
        <v>1241</v>
      </c>
      <c r="B413" s="2" t="s">
        <v>1242</v>
      </c>
      <c r="C413" s="1" t="s">
        <v>7</v>
      </c>
      <c r="D413" s="1" t="s">
        <v>1243</v>
      </c>
      <c r="E413" s="3" t="str">
        <f>IFERROR(__xludf.DUMMYFUNCTION("GOOGLETRANSLATE(D413, ""en"", ""zh-tw"")"),"她努力奮鬥實現了自己的目標。")</f>
        <v>她努力奮鬥實現了自己的目標。</v>
      </c>
    </row>
    <row r="414">
      <c r="A414" s="1" t="s">
        <v>1244</v>
      </c>
      <c r="B414" s="2" t="s">
        <v>1245</v>
      </c>
      <c r="C414" s="1" t="s">
        <v>7</v>
      </c>
      <c r="D414" s="1" t="s">
        <v>1246</v>
      </c>
      <c r="E414" s="3" t="str">
        <f>IFERROR(__xludf.DUMMYFUNCTION("GOOGLETRANSLATE(D414, ""en"", ""zh-tw"")"),"獲得該獎項是他最大的成就。")</f>
        <v>獲得該獎項是他最大的成就。</v>
      </c>
    </row>
    <row r="415">
      <c r="A415" s="1" t="s">
        <v>1247</v>
      </c>
      <c r="B415" s="2" t="s">
        <v>1248</v>
      </c>
      <c r="C415" s="1" t="s">
        <v>7</v>
      </c>
      <c r="D415" s="1" t="s">
        <v>1249</v>
      </c>
      <c r="E415" s="3" t="str">
        <f>IFERROR(__xludf.DUMMYFUNCTION("GOOGLETRANSLATE(D415, ""en"", ""zh-tw"")"),"我們需要更多時間來完成這個專案。")</f>
        <v>我們需要更多時間來完成這個專案。</v>
      </c>
    </row>
    <row r="416">
      <c r="A416" s="1" t="s">
        <v>1250</v>
      </c>
      <c r="B416" s="2" t="s">
        <v>1251</v>
      </c>
      <c r="C416" s="1" t="s">
        <v>7</v>
      </c>
      <c r="D416" s="1" t="s">
        <v>1252</v>
      </c>
      <c r="E416" s="3" t="str">
        <f>IFERROR(__xludf.DUMMYFUNCTION("GOOGLETRANSLATE(D416, ""en"", ""zh-tw"")"),"1. 這款手機有許多高級功能。 2. 她正在上高級英語課程。")</f>
        <v>1. 這款手機有許多高級功能。 2. 她正在上高級英語課程。</v>
      </c>
    </row>
    <row r="417">
      <c r="A417" s="1" t="s">
        <v>1253</v>
      </c>
      <c r="B417" s="2" t="s">
        <v>1254</v>
      </c>
      <c r="C417" s="1" t="s">
        <v>7</v>
      </c>
      <c r="D417" s="1" t="s">
        <v>1255</v>
      </c>
      <c r="E417" s="3" t="str">
        <f>IFERROR(__xludf.DUMMYFUNCTION("GOOGLETRANSLATE(D417, ""en"", ""zh-tw"")"),"掌握兩種語言對找工作來說是一大優勢。")</f>
        <v>掌握兩種語言對找工作來說是一大優勢。</v>
      </c>
    </row>
    <row r="418">
      <c r="A418" s="1" t="s">
        <v>1256</v>
      </c>
      <c r="B418" s="2" t="s">
        <v>1257</v>
      </c>
      <c r="C418" s="1" t="s">
        <v>7</v>
      </c>
      <c r="D418" s="1" t="s">
        <v>1258</v>
      </c>
      <c r="E418" s="3" t="str">
        <f>IFERROR(__xludf.DUMMYFUNCTION("GOOGLETRANSLATE(D418, ""en"", ""zh-tw"")"),"去山區背包健行是我一生中最棒的冒險。")</f>
        <v>去山區背包健行是我一生中最棒的冒險。</v>
      </c>
    </row>
    <row r="419">
      <c r="A419" s="1" t="s">
        <v>1259</v>
      </c>
      <c r="B419" s="2" t="s">
        <v>1260</v>
      </c>
      <c r="C419" s="1" t="s">
        <v>7</v>
      </c>
      <c r="D419" s="1" t="s">
        <v>1261</v>
      </c>
      <c r="E419" s="3" t="str">
        <f>IFERROR(__xludf.DUMMYFUNCTION("GOOGLETRANSLATE(D419, ""en"", ""zh-tw"")"),"該公司計劃在電視上投放新產品廣告。")</f>
        <v>該公司計劃在電視上投放新產品廣告。</v>
      </c>
    </row>
    <row r="420">
      <c r="A420" s="1" t="s">
        <v>1262</v>
      </c>
      <c r="B420" s="2" t="s">
        <v>1263</v>
      </c>
      <c r="C420" s="1" t="s">
        <v>7</v>
      </c>
      <c r="D420" s="1" t="s">
        <v>1264</v>
      </c>
      <c r="E420" s="3" t="str">
        <f>IFERROR(__xludf.DUMMYFUNCTION("GOOGLETRANSLATE(D420, ""en"", ""zh-tw"")"),"我在雜誌上看到了一則新款智慧型手機的廣告。")</f>
        <v>我在雜誌上看到了一則新款智慧型手機的廣告。</v>
      </c>
    </row>
    <row r="421">
      <c r="A421" s="1" t="s">
        <v>1265</v>
      </c>
      <c r="B421" s="2" t="s">
        <v>1266</v>
      </c>
      <c r="C421" s="1" t="s">
        <v>279</v>
      </c>
      <c r="D421" s="1" t="s">
        <v>1267</v>
      </c>
      <c r="E421" s="3" t="str">
        <f>IFERROR(__xludf.DUMMYFUNCTION("GOOGLETRANSLATE(D421, ""en"", ""zh-tw"")"),"她在一家大型銀行擔任財務顧問。")</f>
        <v>她在一家大型銀行擔任財務顧問。</v>
      </c>
    </row>
    <row r="422">
      <c r="A422" s="1" t="s">
        <v>1268</v>
      </c>
      <c r="B422" s="2" t="s">
        <v>1269</v>
      </c>
      <c r="C422" s="1" t="s">
        <v>7</v>
      </c>
      <c r="D422" s="1" t="s">
        <v>1270</v>
      </c>
      <c r="E422" s="3" t="str">
        <f>IFERROR(__xludf.DUMMYFUNCTION("GOOGLETRANSLATE(D422, ""en"", ""zh-tw"")"),"1. 我現在買不起新車。 2. 這份工作會給你很多旅行的機會。")</f>
        <v>1. 我現在買不起新車。 2. 這份工作會給你很多旅行的機會。</v>
      </c>
    </row>
    <row r="423">
      <c r="A423" s="1" t="s">
        <v>1271</v>
      </c>
      <c r="B423" s="2" t="s">
        <v>1272</v>
      </c>
      <c r="C423" s="1" t="s">
        <v>17</v>
      </c>
      <c r="D423" s="1" t="s">
        <v>1273</v>
      </c>
      <c r="E423" s="3" t="str">
        <f>IFERROR(__xludf.DUMMYFUNCTION("GOOGLETRANSLATE(D423, ""en"", ""zh-tw"")"),"我們去看了電影，之後/之後我們吃了晚餐。")</f>
        <v>我們去看了電影，之後/之後我們吃了晚餐。</v>
      </c>
    </row>
    <row r="424">
      <c r="A424" s="1" t="s">
        <v>1274</v>
      </c>
      <c r="B424" s="2" t="s">
        <v>1275</v>
      </c>
      <c r="C424" s="1" t="s">
        <v>279</v>
      </c>
      <c r="D424" s="1" t="s">
        <v>1276</v>
      </c>
      <c r="E424" s="3" t="str">
        <f>IFERROR(__xludf.DUMMYFUNCTION("GOOGLETRANSLATE(D424, ""en"", ""zh-tw"")"),"現代農業利用先進的機械設備來提高作物產量。")</f>
        <v>現代農業利用先進的機械設備來提高作物產量。</v>
      </c>
    </row>
    <row r="425">
      <c r="A425" s="1" t="s">
        <v>1277</v>
      </c>
      <c r="B425" s="2" t="s">
        <v>1278</v>
      </c>
      <c r="C425" s="1" t="s">
        <v>7</v>
      </c>
      <c r="D425" s="1" t="s">
        <v>1279</v>
      </c>
      <c r="E425" s="3" t="str">
        <f>IFERROR(__xludf.DUMMYFUNCTION("GOOGLETRANSLATE(D425, ""en"", ""zh-tw"")"),"我透過一家大型航空公司預訂了去巴黎的機票。")</f>
        <v>我透過一家大型航空公司預訂了去巴黎的機票。</v>
      </c>
    </row>
    <row r="426">
      <c r="A426" s="1" t="s">
        <v>1280</v>
      </c>
      <c r="B426" s="2" t="s">
        <v>1281</v>
      </c>
      <c r="C426" s="1" t="s">
        <v>17</v>
      </c>
      <c r="D426" s="1" t="s">
        <v>1282</v>
      </c>
      <c r="E426" s="3" t="str">
        <f>IFERROR(__xludf.DUMMYFUNCTION("GOOGLETRANSLATE(D426, ""en"", ""zh-tw"")"),"貓迅速跑下了巷子。")</f>
        <v>貓迅速跑下了巷子。</v>
      </c>
    </row>
    <row r="427">
      <c r="A427" s="1" t="s">
        <v>1283</v>
      </c>
      <c r="B427" s="2" t="s">
        <v>1284</v>
      </c>
      <c r="C427" s="1" t="s">
        <v>279</v>
      </c>
      <c r="D427" s="1" t="s">
        <v>1285</v>
      </c>
      <c r="E427" s="3" t="str">
        <f>IFERROR(__xludf.DUMMYFUNCTION("GOOGLETRANSLATE(D427, ""en"", ""zh-tw"")"),"考生必須通過入學考試才能獲得面試機會。")</f>
        <v>考生必須通過入學考試才能獲得面試機會。</v>
      </c>
    </row>
    <row r="428">
      <c r="A428" s="1" t="s">
        <v>1286</v>
      </c>
      <c r="B428" s="2" t="s">
        <v>1287</v>
      </c>
      <c r="C428" s="1" t="s">
        <v>279</v>
      </c>
      <c r="D428" s="1" t="s">
        <v>1288</v>
      </c>
      <c r="E428" s="3" t="str">
        <f>IFERROR(__xludf.DUMMYFUNCTION("GOOGLETRANSLATE(D428, ""en"", ""zh-tw"")"),"無論職位或身分如何，員工都將接受年度考核。")</f>
        <v>無論職位或身分如何，員工都將接受年度考核。</v>
      </c>
    </row>
    <row r="429">
      <c r="A429" s="1" t="s">
        <v>1289</v>
      </c>
      <c r="B429" s="2" t="s">
        <v>1290</v>
      </c>
      <c r="C429" s="1" t="s">
        <v>279</v>
      </c>
      <c r="D429" s="1" t="s">
        <v>1291</v>
      </c>
      <c r="E429" s="3" t="str">
        <f>IFERROR(__xludf.DUMMYFUNCTION("GOOGLETRANSLATE(D429, ""en"", ""zh-tw"")"),"我們正在尋找醫學和衛生管理領域的敬業專業人士。")</f>
        <v>我們正在尋找醫學和衛生管理領域的敬業專業人士。</v>
      </c>
    </row>
    <row r="430">
      <c r="A430" s="1" t="s">
        <v>1292</v>
      </c>
      <c r="B430" s="2" t="s">
        <v>1293</v>
      </c>
      <c r="C430" s="1" t="s">
        <v>7</v>
      </c>
      <c r="D430" s="1" t="s">
        <v>1294</v>
      </c>
      <c r="E430" s="3" t="str">
        <f>IFERROR(__xludf.DUMMYFUNCTION("GOOGLETRANSLATE(D430, ""en"", ""zh-tw"")"),"嚴重違反公司規定的員工可能會被提前兩週通知解僱。")</f>
        <v>嚴重違反公司規定的員工可能會被提前兩週通知解僱。</v>
      </c>
    </row>
    <row r="431">
      <c r="A431" s="1" t="s">
        <v>1295</v>
      </c>
      <c r="B431" s="2" t="s">
        <v>1296</v>
      </c>
      <c r="C431" s="1" t="s">
        <v>7</v>
      </c>
      <c r="D431" s="1" t="s">
        <v>1297</v>
      </c>
      <c r="E431" s="3" t="str">
        <f>IFERROR(__xludf.DUMMYFUNCTION("GOOGLETRANSLATE(D431, ""en"", ""zh-tw"")"),"請告知應徵者，申請多個職位違反公司規定。")</f>
        <v>請告知應徵者，申請多個職位違反公司規定。</v>
      </c>
    </row>
    <row r="432">
      <c r="A432" s="1" t="s">
        <v>1298</v>
      </c>
      <c r="B432" s="2" t="s">
        <v>1299</v>
      </c>
      <c r="C432" s="1" t="s">
        <v>279</v>
      </c>
      <c r="D432" s="1" t="s">
        <v>1300</v>
      </c>
      <c r="E432" s="3" t="str">
        <f>IFERROR(__xludf.DUMMYFUNCTION("GOOGLETRANSLATE(D432, ""en"", ""zh-tw"")"),"鑑於時間有限，甄選程序應相應縮短。")</f>
        <v>鑑於時間有限，甄選程序應相應縮短。</v>
      </c>
    </row>
    <row r="433">
      <c r="A433" s="1" t="s">
        <v>1301</v>
      </c>
      <c r="B433" s="2" t="s">
        <v>1302</v>
      </c>
      <c r="C433" s="1" t="s">
        <v>7</v>
      </c>
      <c r="D433" s="1" t="s">
        <v>1303</v>
      </c>
      <c r="E433" s="3" t="str">
        <f>IFERROR(__xludf.DUMMYFUNCTION("GOOGLETRANSLATE(D433, ""en"", ""zh-tw"")"),"本月我們需要招募四名員工來填補人力資源部門的空缺。")</f>
        <v>本月我們需要招募四名員工來填補人力資源部門的空缺。</v>
      </c>
    </row>
    <row r="434">
      <c r="A434" s="1" t="s">
        <v>1304</v>
      </c>
      <c r="B434" s="2" t="s">
        <v>1305</v>
      </c>
      <c r="C434" s="1" t="s">
        <v>7</v>
      </c>
      <c r="D434" s="1" t="s">
        <v>1306</v>
      </c>
      <c r="E434" s="3" t="str">
        <f>IFERROR(__xludf.DUMMYFUNCTION("GOOGLETRANSLATE(D434, ""en"", ""zh-tw"")"),"招募經理應將候選人的經驗與公司中最合適的部門進行配對。")</f>
        <v>招募經理應將候選人的經驗與公司中最合適的部門進行配對。</v>
      </c>
    </row>
    <row r="435">
      <c r="A435" s="1" t="s">
        <v>1307</v>
      </c>
      <c r="B435" s="2" t="s">
        <v>1308</v>
      </c>
      <c r="C435" s="1" t="s">
        <v>7</v>
      </c>
      <c r="D435" s="1" t="s">
        <v>1309</v>
      </c>
      <c r="E435" s="3" t="str">
        <f>IFERROR(__xludf.DUMMYFUNCTION("GOOGLETRANSLATE(D435, ""en"", ""zh-tw"")"),"人力資源總監的職責是維持我們員工團隊的效率。")</f>
        <v>人力資源總監的職責是維持我們員工團隊的效率。</v>
      </c>
    </row>
    <row r="436">
      <c r="A436" s="1" t="s">
        <v>1310</v>
      </c>
      <c r="B436" s="2" t="s">
        <v>1311</v>
      </c>
      <c r="C436" s="1" t="s">
        <v>279</v>
      </c>
      <c r="D436" s="1" t="s">
        <v>1312</v>
      </c>
      <c r="E436" s="3" t="str">
        <f>IFERROR(__xludf.DUMMYFUNCTION("GOOGLETRANSLATE(D436, ""en"", ""zh-tw"")"),"對潛在候選人的評估應按照我們的排名系統進行。")</f>
        <v>對潛在候選人的評估應按照我們的排名系統進行。</v>
      </c>
    </row>
    <row r="437">
      <c r="A437" s="1" t="s">
        <v>1313</v>
      </c>
      <c r="B437" s="2" t="s">
        <v>1314</v>
      </c>
      <c r="C437" s="1" t="s">
        <v>279</v>
      </c>
      <c r="D437" s="1" t="s">
        <v>1315</v>
      </c>
      <c r="E437" s="3" t="str">
        <f>IFERROR(__xludf.DUMMYFUNCTION("GOOGLETRANSLATE(D437, ""en"", ""zh-tw"")"),"總統明確表示，我們不得為該職位招募海外勞工。")</f>
        <v>總統明確表示，我們不得為該職位招募海外勞工。</v>
      </c>
    </row>
    <row r="438">
      <c r="A438" s="1" t="s">
        <v>1316</v>
      </c>
      <c r="B438" s="2" t="s">
        <v>1317</v>
      </c>
      <c r="C438" s="1" t="s">
        <v>279</v>
      </c>
      <c r="D438" s="1" t="s">
        <v>1318</v>
      </c>
      <c r="E438" s="3" t="str">
        <f>IFERROR(__xludf.DUMMYFUNCTION("GOOGLETRANSLATE(D438, ""en"", ""zh-tw"")"),"求職者應該始終努力給人留下最好的第一印象。")</f>
        <v>求職者應該始終努力給人留下最好的第一印象。</v>
      </c>
    </row>
    <row r="439">
      <c r="A439" s="1" t="s">
        <v>1319</v>
      </c>
      <c r="B439" s="2" t="s">
        <v>1320</v>
      </c>
      <c r="C439" s="1" t="s">
        <v>7</v>
      </c>
      <c r="D439" s="1" t="s">
        <v>1321</v>
      </c>
      <c r="E439" s="3" t="str">
        <f>IFERROR(__xludf.DUMMYFUNCTION("GOOGLETRANSLATE(D439, ""en"", ""zh-tw"")"),"考慮換工作的人首先應該決定新職位是否能幫助他們實現職業目標。")</f>
        <v>考慮換工作的人首先應該決定新職位是否能幫助他們實現職業目標。</v>
      </c>
    </row>
    <row r="440">
      <c r="A440" s="1" t="s">
        <v>1322</v>
      </c>
      <c r="B440" s="2" t="s">
        <v>1323</v>
      </c>
      <c r="C440" s="1" t="s">
        <v>7</v>
      </c>
      <c r="D440" s="1" t="s">
        <v>1324</v>
      </c>
      <c r="E440" s="3" t="str">
        <f>IFERROR(__xludf.DUMMYFUNCTION("GOOGLETRANSLATE(D440, ""en"", ""zh-tw"")"),"無法在規定日期參加筆試的考生可以安排補考。")</f>
        <v>無法在規定日期參加筆試的考生可以安排補考。</v>
      </c>
    </row>
    <row r="441">
      <c r="A441" s="1" t="s">
        <v>1325</v>
      </c>
      <c r="B441" s="2" t="s">
        <v>1326</v>
      </c>
      <c r="C441" s="1" t="s">
        <v>7</v>
      </c>
      <c r="D441" s="1" t="s">
        <v>1327</v>
      </c>
      <c r="E441" s="3" t="str">
        <f>IFERROR(__xludf.DUMMYFUNCTION("GOOGLETRANSLATE(D441, ""en"", ""zh-tw"")"),"關於候選人背景的問題應僅限於教育和工作經驗。")</f>
        <v>關於候選人背景的問題應僅限於教育和工作經驗。</v>
      </c>
    </row>
    <row r="442">
      <c r="A442" s="1" t="s">
        <v>1328</v>
      </c>
      <c r="B442" s="2" t="s">
        <v>1329</v>
      </c>
      <c r="C442" s="1" t="s">
        <v>279</v>
      </c>
      <c r="D442" s="1" t="s">
        <v>1330</v>
      </c>
      <c r="E442" s="3" t="str">
        <f>IFERROR(__xludf.DUMMYFUNCTION("GOOGLETRANSLATE(D442, ""en"", ""zh-tw"")"),"共有 12 位候選人，但只有 5 個職缺。")</f>
        <v>共有 12 位候選人，但只有 5 個職缺。</v>
      </c>
    </row>
    <row r="443">
      <c r="A443" s="1" t="s">
        <v>1331</v>
      </c>
      <c r="B443" s="2" t="s">
        <v>1332</v>
      </c>
      <c r="C443" s="1" t="s">
        <v>7</v>
      </c>
      <c r="D443" s="1" t="s">
        <v>1333</v>
      </c>
      <c r="E443" s="3" t="str">
        <f>IFERROR(__xludf.DUMMYFUNCTION("GOOGLETRANSLATE(D443, ""en"", ""zh-tw"")"),"您在維護大型資料庫方面有多少經驗？")</f>
        <v>您在維護大型資料庫方面有多少經驗？</v>
      </c>
    </row>
    <row r="444">
      <c r="A444" s="1" t="s">
        <v>1334</v>
      </c>
      <c r="B444" s="2" t="s">
        <v>1335</v>
      </c>
      <c r="C444" s="1" t="s">
        <v>7</v>
      </c>
      <c r="D444" s="1" t="s">
        <v>1336</v>
      </c>
      <c r="E444" s="3" t="str">
        <f>IFERROR(__xludf.DUMMYFUNCTION("GOOGLETRANSLATE(D444, ""en"", ""zh-tw"")"),"不會有團體面試。我們會與每位候選人進行一對一面試。")</f>
        <v>不會有團體面試。我們會與每位候選人進行一對一面試。</v>
      </c>
    </row>
    <row r="445">
      <c r="A445" s="1" t="s">
        <v>1337</v>
      </c>
      <c r="B445" s="2" t="s">
        <v>1338</v>
      </c>
      <c r="C445" s="1" t="s">
        <v>279</v>
      </c>
      <c r="D445" s="1" t="s">
        <v>1339</v>
      </c>
      <c r="E445" s="3" t="str">
        <f>IFERROR(__xludf.DUMMYFUNCTION("GOOGLETRANSLATE(D445, ""en"", ""zh-tw"")"),"應徵者在面試前是否曾對公司目前的業務活動進行調查？")</f>
        <v>應徵者在面試前是否曾對公司目前的業務活動進行調查？</v>
      </c>
    </row>
    <row r="446">
      <c r="A446" s="1" t="s">
        <v>1340</v>
      </c>
      <c r="B446" s="2" t="s">
        <v>1341</v>
      </c>
      <c r="C446" s="1" t="s">
        <v>279</v>
      </c>
      <c r="D446" s="1" t="s">
        <v>1342</v>
      </c>
      <c r="E446" s="3" t="str">
        <f>IFERROR(__xludf.DUMMYFUNCTION("GOOGLETRANSLATE(D446, ""en"", ""zh-tw"")"),"申請此職位需要提供三封推薦信。")</f>
        <v>申請此職位需要提供三封推薦信。</v>
      </c>
    </row>
    <row r="447">
      <c r="A447" s="1" t="s">
        <v>1343</v>
      </c>
      <c r="B447" s="2" t="s">
        <v>1344</v>
      </c>
      <c r="C447" s="1" t="s">
        <v>279</v>
      </c>
      <c r="D447" s="1" t="s">
        <v>1345</v>
      </c>
      <c r="E447" s="3" t="str">
        <f>IFERROR(__xludf.DUMMYFUNCTION("GOOGLETRANSLATE(D447, ""en"", ""zh-tw"")"),"您的履歷，尤其是您的工作經歷，給我們留下了非常深刻的印象。")</f>
        <v>您的履歷，尤其是您的工作經歷，給我們留下了非常深刻的印象。</v>
      </c>
    </row>
    <row r="448">
      <c r="A448" s="1" t="s">
        <v>1346</v>
      </c>
      <c r="B448" s="2" t="s">
        <v>1347</v>
      </c>
      <c r="C448" s="1" t="s">
        <v>279</v>
      </c>
      <c r="D448" s="1" t="s">
        <v>1348</v>
      </c>
      <c r="E448" s="3" t="str">
        <f>IFERROR(__xludf.DUMMYFUNCTION("GOOGLETRANSLATE(D448, ""en"", ""zh-tw"")"),"我認為發布我的家用會計軟體是我最偉大的成就之一。")</f>
        <v>我認為發布我的家用會計軟體是我最偉大的成就之一。</v>
      </c>
    </row>
    <row r="449">
      <c r="A449" s="1" t="s">
        <v>1349</v>
      </c>
      <c r="B449" s="2" t="s">
        <v>1350</v>
      </c>
      <c r="C449" s="1" t="s">
        <v>279</v>
      </c>
      <c r="D449" s="1" t="s">
        <v>1351</v>
      </c>
      <c r="E449" s="3" t="str">
        <f>IFERROR(__xludf.DUMMYFUNCTION("GOOGLETRANSLATE(D449, ""en"", ""zh-tw"")"),"在之前的工作中，我有很多機會證明自己能夠同時處理多項任務。")</f>
        <v>在之前的工作中，我有很多機會證明自己能夠同時處理多項任務。</v>
      </c>
    </row>
    <row r="450">
      <c r="A450" s="1" t="s">
        <v>1352</v>
      </c>
      <c r="B450" s="2" t="s">
        <v>1353</v>
      </c>
      <c r="C450" s="1" t="s">
        <v>279</v>
      </c>
      <c r="D450" s="1" t="s">
        <v>1354</v>
      </c>
      <c r="E450" s="3" t="str">
        <f>IFERROR(__xludf.DUMMYFUNCTION("GOOGLETRANSLATE(D450, ""en"", ""zh-tw"")"),"我相信我的全部潛力尚未發揮出來。")</f>
        <v>我相信我的全部潛力尚未發揮出來。</v>
      </c>
    </row>
    <row r="451">
      <c r="A451" s="1" t="s">
        <v>1355</v>
      </c>
      <c r="B451" s="2" t="s">
        <v>1356</v>
      </c>
      <c r="C451" s="1" t="s">
        <v>279</v>
      </c>
      <c r="D451" s="1" t="s">
        <v>1357</v>
      </c>
      <c r="E451" s="3" t="str">
        <f>IFERROR(__xludf.DUMMYFUNCTION("GOOGLETRANSLATE(D451, ""en"", ""zh-tw"")"),"我擁有英語、日語和中文的熟練程度，並有相關證明文件。")</f>
        <v>我擁有英語、日語和中文的熟練程度，並有相關證明文件。</v>
      </c>
    </row>
    <row r="452">
      <c r="A452" s="1" t="s">
        <v>1358</v>
      </c>
      <c r="B452" s="2" t="s">
        <v>1359</v>
      </c>
      <c r="C452" s="1" t="s">
        <v>279</v>
      </c>
      <c r="D452" s="1" t="s">
        <v>1360</v>
      </c>
      <c r="E452" s="3" t="str">
        <f>IFERROR(__xludf.DUMMYFUNCTION("GOOGLETRANSLATE(D452, ""en"", ""zh-tw"")"),"我希望我的個人簡介能清楚地展現我對社區保護和改善的奉獻精神。")</f>
        <v>我希望我的個人簡介能清楚地展現我對社區保護和改善的奉獻精神。</v>
      </c>
    </row>
    <row r="453">
      <c r="A453" s="1" t="s">
        <v>1361</v>
      </c>
      <c r="B453" s="2" t="s">
        <v>1362</v>
      </c>
      <c r="C453" s="1" t="s">
        <v>7</v>
      </c>
      <c r="D453" s="1" t="s">
        <v>1363</v>
      </c>
      <c r="E453" s="3" t="str">
        <f>IFERROR(__xludf.DUMMYFUNCTION("GOOGLETRANSLATE(D453, ""en"", ""zh-tw"")"),"他的履歷顯示他精通社群媒體行銷。")</f>
        <v>他的履歷顯示他精通社群媒體行銷。</v>
      </c>
    </row>
    <row r="454">
      <c r="A454" s="1" t="s">
        <v>1364</v>
      </c>
      <c r="B454" s="2" t="s">
        <v>1365</v>
      </c>
      <c r="C454" s="1" t="s">
        <v>279</v>
      </c>
      <c r="D454" s="1" t="s">
        <v>1366</v>
      </c>
      <c r="E454" s="3" t="str">
        <f>IFERROR(__xludf.DUMMYFUNCTION("GOOGLETRANSLATE(D454, ""en"", ""zh-tw"")"),"他自稱工作態度認真負責，但過去兩年他換了四份工作。")</f>
        <v>他自稱工作態度認真負責，但過去兩年他換了四份工作。</v>
      </c>
    </row>
    <row r="455">
      <c r="A455" s="1" t="s">
        <v>1367</v>
      </c>
      <c r="B455" s="2" t="s">
        <v>1368</v>
      </c>
      <c r="C455" s="1" t="s">
        <v>279</v>
      </c>
      <c r="D455" s="1" t="s">
        <v>1369</v>
      </c>
      <c r="E455" s="3" t="str">
        <f>IFERROR(__xludf.DUMMYFUNCTION("GOOGLETRANSLATE(D455, ""en"", ""zh-tw"")"),"如果您對我們應該尋找哪些個人素質有任何建議，請告訴我。")</f>
        <v>如果您對我們應該尋找哪些個人素質有任何建議，請告訴我。</v>
      </c>
    </row>
    <row r="456">
      <c r="A456" s="1" t="s">
        <v>1370</v>
      </c>
      <c r="B456" s="2" t="s">
        <v>1371</v>
      </c>
      <c r="C456" s="1" t="s">
        <v>7</v>
      </c>
      <c r="D456" s="1" t="s">
        <v>1372</v>
      </c>
      <c r="E456" s="3" t="str">
        <f>IFERROR(__xludf.DUMMYFUNCTION("GOOGLETRANSLATE(D456, ""en"", ""zh-tw"")"),"許多招募經理認為，不積極尋求更好的職位是一種弱點。")</f>
        <v>許多招募經理認為，不積極尋求更好的職位是一種弱點。</v>
      </c>
    </row>
    <row r="457">
      <c r="A457" s="1" t="s">
        <v>1373</v>
      </c>
      <c r="B457" s="2" t="s">
        <v>1374</v>
      </c>
      <c r="C457" s="1" t="s">
        <v>7</v>
      </c>
      <c r="D457" s="1" t="s">
        <v>1375</v>
      </c>
      <c r="E457" s="3" t="str">
        <f>IFERROR(__xludf.DUMMYFUNCTION("GOOGLETRANSLATE(D457, ""en"", ""zh-tw"")"),"我會另謀高就，因為我對公司對待我的方式很不滿意。")</f>
        <v>我會另謀高就，因為我對公司對待我的方式很不滿意。</v>
      </c>
    </row>
    <row r="458">
      <c r="A458" s="1" t="s">
        <v>1376</v>
      </c>
      <c r="B458" s="2" t="s">
        <v>1377</v>
      </c>
      <c r="C458" s="1" t="s">
        <v>7</v>
      </c>
      <c r="D458" s="1" t="s">
        <v>1378</v>
      </c>
      <c r="E458" s="3" t="str">
        <f>IFERROR(__xludf.DUMMYFUNCTION("GOOGLETRANSLATE(D458, ""en"", ""zh-tw"")"),"本公司提供的福利包括免費健身房會員資格、年度專業發展課程和公司內部托兒服務。")</f>
        <v>本公司提供的福利包括免費健身房會員資格、年度專業發展課程和公司內部托兒服務。</v>
      </c>
    </row>
    <row r="459">
      <c r="A459" s="1" t="s">
        <v>1379</v>
      </c>
      <c r="B459" s="2" t="s">
        <v>1380</v>
      </c>
      <c r="C459" s="1" t="s">
        <v>279</v>
      </c>
      <c r="D459" s="1" t="s">
        <v>1381</v>
      </c>
      <c r="E459" s="3" t="str">
        <f>IFERROR(__xludf.DUMMYFUNCTION("GOOGLETRANSLATE(D459, ""en"", ""zh-tw"")"),"我不喜歡早會，但我很喜歡我們提供的免費早餐！")</f>
        <v>我不喜歡早會，但我很喜歡我們提供的免費早餐！</v>
      </c>
    </row>
    <row r="460">
      <c r="A460" s="1" t="s">
        <v>1382</v>
      </c>
      <c r="B460" s="2" t="s">
        <v>1383</v>
      </c>
      <c r="C460" s="1" t="s">
        <v>7</v>
      </c>
      <c r="D460" s="1" t="s">
        <v>1384</v>
      </c>
      <c r="E460" s="3" t="str">
        <f>IFERROR(__xludf.DUMMYFUNCTION("GOOGLETRANSLATE(D460, ""en"", ""zh-tw"")"),"這家公司雖然假期不多，但薪資待遇確實很優。")</f>
        <v>這家公司雖然假期不多，但薪資待遇確實很優。</v>
      </c>
    </row>
    <row r="461">
      <c r="A461" s="1" t="s">
        <v>1385</v>
      </c>
      <c r="B461" s="2" t="s">
        <v>1386</v>
      </c>
      <c r="C461" s="1" t="s">
        <v>17</v>
      </c>
      <c r="D461" s="1" t="s">
        <v>1387</v>
      </c>
      <c r="E461" s="3" t="str">
        <f>IFERROR(__xludf.DUMMYFUNCTION("GOOGLETRANSLATE(D461, ""en"", ""zh-tw"")"),"如果能獲得更多有薪假期，我願意接受較低的薪水。")</f>
        <v>如果能獲得更多有薪假期，我願意接受較低的薪水。</v>
      </c>
    </row>
    <row r="462">
      <c r="A462" s="1" t="s">
        <v>1388</v>
      </c>
      <c r="B462" s="2" t="s">
        <v>1389</v>
      </c>
      <c r="C462" s="1" t="s">
        <v>7</v>
      </c>
      <c r="D462" s="1" t="s">
        <v>1390</v>
      </c>
      <c r="E462" s="3" t="str">
        <f>IFERROR(__xludf.DUMMYFUNCTION("GOOGLETRANSLATE(D462, ""en"", ""zh-tw"")"),"培訓理論上很好，但對我的工作沒有任何實際應用價值。")</f>
        <v>培訓理論上很好，但對我的工作沒有任何實際應用價值。</v>
      </c>
    </row>
    <row r="463">
      <c r="A463" s="1" t="s">
        <v>1391</v>
      </c>
      <c r="B463" s="2" t="s">
        <v>1392</v>
      </c>
      <c r="C463" s="1" t="s">
        <v>7</v>
      </c>
      <c r="D463" s="1" t="s">
        <v>1393</v>
      </c>
      <c r="E463" s="3" t="str">
        <f>IFERROR(__xludf.DUMMYFUNCTION("GOOGLETRANSLATE(D463, ""en"", ""zh-tw"")"),"這裡的福利實在無法滿足我的需求——沒有牙科保健，沒有日托，而且假期也不多。")</f>
        <v>這裡的福利實在無法滿足我的需求——沒有牙科保健，沒有日托，而且假期也不多。</v>
      </c>
    </row>
    <row r="464">
      <c r="A464" s="1" t="s">
        <v>1394</v>
      </c>
      <c r="B464" s="2" t="s">
        <v>1395</v>
      </c>
      <c r="C464" s="1" t="s">
        <v>279</v>
      </c>
      <c r="D464" s="1" t="s">
        <v>1396</v>
      </c>
      <c r="E464" s="3" t="str">
        <f>IFERROR(__xludf.DUMMYFUNCTION("GOOGLETRANSLATE(D464, ""en"", ""zh-tw"")"),"她有很多好點子，但在團隊合作方面卻不太勤奮。")</f>
        <v>她有很多好點子，但在團隊合作方面卻不太勤奮。</v>
      </c>
    </row>
    <row r="465">
      <c r="A465" s="1" t="s">
        <v>1397</v>
      </c>
      <c r="B465" s="2" t="s">
        <v>1398</v>
      </c>
      <c r="C465" s="1" t="s">
        <v>279</v>
      </c>
      <c r="D465" s="1" t="s">
        <v>1399</v>
      </c>
      <c r="E465" s="3" t="str">
        <f>IFERROR(__xludf.DUMMYFUNCTION("GOOGLETRANSLATE(D465, ""en"", ""zh-tw"")"),"我們公司將以年終獎金的形式發放股利。")</f>
        <v>我們公司將以年終獎金的形式發放股利。</v>
      </c>
    </row>
    <row r="466">
      <c r="A466" s="1" t="s">
        <v>1400</v>
      </c>
      <c r="B466" s="2" t="s">
        <v>1401</v>
      </c>
      <c r="C466" s="1" t="s">
        <v>279</v>
      </c>
      <c r="D466" s="1" t="s">
        <v>1402</v>
      </c>
      <c r="E466" s="3" t="str">
        <f>IFERROR(__xludf.DUMMYFUNCTION("GOOGLETRANSLATE(D466, ""en"", ""zh-tw"")"),"他沒有資格擔任這個職位，因為他沒有大學學位。")</f>
        <v>他沒有資格擔任這個職位，因為他沒有大學學位。</v>
      </c>
    </row>
    <row r="467">
      <c r="A467" s="1" t="s">
        <v>1403</v>
      </c>
      <c r="B467" s="2" t="s">
        <v>1404</v>
      </c>
      <c r="C467" s="1" t="s">
        <v>279</v>
      </c>
      <c r="D467" s="1" t="s">
        <v>1405</v>
      </c>
      <c r="E467" s="3" t="str">
        <f>IFERROR(__xludf.DUMMYFUNCTION("GOOGLETRANSLATE(D467, ""en"", ""zh-tw"")"),"根據公司規定，工作滿一年後，我將享有三週的假期。")</f>
        <v>根據公司規定，工作滿一年後，我將享有三週的假期。</v>
      </c>
    </row>
    <row r="468">
      <c r="A468" s="1" t="s">
        <v>1406</v>
      </c>
      <c r="B468" s="2" t="s">
        <v>1407</v>
      </c>
      <c r="C468" s="1" t="s">
        <v>279</v>
      </c>
      <c r="D468" s="1" t="s">
        <v>1408</v>
      </c>
      <c r="E468" s="3" t="str">
        <f>IFERROR(__xludf.DUMMYFUNCTION("GOOGLETRANSLATE(D468, ""en"", ""zh-tw"")"),"我非常希望能夠從那家研究公司獲得資助。")</f>
        <v>我非常希望能夠從那家研究公司獲得資助。</v>
      </c>
    </row>
    <row r="469">
      <c r="A469" s="1" t="s">
        <v>1409</v>
      </c>
      <c r="B469" s="2" t="s">
        <v>1410</v>
      </c>
      <c r="C469" s="1" t="s">
        <v>279</v>
      </c>
      <c r="D469" s="1" t="s">
        <v>1411</v>
      </c>
      <c r="E469" s="3" t="str">
        <f>IFERROR(__xludf.DUMMYFUNCTION("GOOGLETRANSLATE(D469, ""en"", ""zh-tw"")"),"我知道獎金在技術上是可選的，但我認為管理層知道我們每年都期待拿到獎金。")</f>
        <v>我知道獎金在技術上是可選的，但我認為管理層知道我們每年都期待拿到獎金。</v>
      </c>
    </row>
    <row r="470">
      <c r="A470" s="1" t="s">
        <v>1412</v>
      </c>
      <c r="B470" s="2" t="s">
        <v>1413</v>
      </c>
      <c r="C470" s="1" t="s">
        <v>279</v>
      </c>
      <c r="D470" s="1" t="s">
        <v>1414</v>
      </c>
      <c r="E470" s="3" t="str">
        <f>IFERROR(__xludf.DUMMYFUNCTION("GOOGLETRANSLATE(D470, ""en"", ""zh-tw"")"),"績效考核後，他因工作效率高而獲得了加薪。")</f>
        <v>績效考核後，他因工作效率高而獲得了加薪。</v>
      </c>
    </row>
    <row r="471">
      <c r="A471" s="1" t="s">
        <v>1415</v>
      </c>
      <c r="B471" s="2" t="s">
        <v>1416</v>
      </c>
      <c r="C471" s="1" t="s">
        <v>279</v>
      </c>
      <c r="D471" s="1" t="s">
        <v>1417</v>
      </c>
      <c r="E471" s="3" t="str">
        <f>IFERROR(__xludf.DUMMYFUNCTION("GOOGLETRANSLATE(D471, ""en"", ""zh-tw"")"),"我打算和人資部的代表談談，看看今年能不能多休幾天假。")</f>
        <v>我打算和人資部的代表談談，看看今年能不能多休幾天假。</v>
      </c>
    </row>
    <row r="472">
      <c r="A472" s="1" t="s">
        <v>1418</v>
      </c>
      <c r="B472" s="2" t="s">
        <v>1419</v>
      </c>
      <c r="C472" s="1" t="s">
        <v>279</v>
      </c>
      <c r="D472" s="1" t="s">
        <v>1420</v>
      </c>
      <c r="E472" s="3" t="str">
        <f>IFERROR(__xludf.DUMMYFUNCTION("GOOGLETRANSLATE(D472, ""en"", ""zh-tw"")"),"根據工齡，我們分別享有三週和四周的帶薪假期。")</f>
        <v>根據工齡，我們分別享有三週和四周的帶薪假期。</v>
      </c>
    </row>
    <row r="473">
      <c r="A473" s="1" t="s">
        <v>1421</v>
      </c>
      <c r="B473" s="2" t="s">
        <v>1422</v>
      </c>
      <c r="C473" s="1" t="s">
        <v>279</v>
      </c>
      <c r="D473" s="1" t="s">
        <v>1423</v>
      </c>
      <c r="E473" s="3" t="str">
        <f>IFERROR(__xludf.DUMMYFUNCTION("GOOGLETRANSLATE(D473, ""en"", ""zh-tw"")"),"我非常想接受他們的邀請，因為福利待遇比我現在的工作好得多。")</f>
        <v>我非常想接受他們的邀請，因為福利待遇比我現在的工作好得多。</v>
      </c>
    </row>
    <row r="474">
      <c r="A474" s="1" t="s">
        <v>1424</v>
      </c>
      <c r="B474" s="2" t="s">
        <v>1425</v>
      </c>
      <c r="C474" s="1" t="s">
        <v>279</v>
      </c>
      <c r="D474" s="1" t="s">
        <v>1426</v>
      </c>
      <c r="E474" s="3" t="str">
        <f>IFERROR(__xludf.DUMMYFUNCTION("GOOGLETRANSLATE(D474, ""en"", ""zh-tw"")"),"他把專案成功的功勞都攬在了自己身上，完全沒有承認她的貢獻。")</f>
        <v>他把專案成功的功勞都攬在了自己身上，完全沒有承認她的貢獻。</v>
      </c>
    </row>
    <row r="475">
      <c r="A475" s="1" t="s">
        <v>1427</v>
      </c>
      <c r="B475" s="2" t="s">
        <v>1428</v>
      </c>
      <c r="C475" s="1" t="s">
        <v>279</v>
      </c>
      <c r="D475" s="1" t="s">
        <v>1429</v>
      </c>
      <c r="E475" s="3" t="str">
        <f>IFERROR(__xludf.DUMMYFUNCTION("GOOGLETRANSLATE(D475, ""en"", ""zh-tw"")"),"我不能獨攬這項計劃的功勞。團隊裡的每個人都為此做出了貢獻。")</f>
        <v>我不能獨攬這項計劃的功勞。團隊裡的每個人都為此做出了貢獻。</v>
      </c>
    </row>
    <row r="476">
      <c r="A476" s="1" t="s">
        <v>1430</v>
      </c>
      <c r="B476" s="2" t="s">
        <v>1431</v>
      </c>
      <c r="C476" s="1" t="s">
        <v>279</v>
      </c>
      <c r="D476" s="1" t="s">
        <v>1432</v>
      </c>
      <c r="E476" s="3" t="str">
        <f>IFERROR(__xludf.DUMMYFUNCTION("GOOGLETRANSLATE(D476, ""en"", ""zh-tw"")"),"他們希望透過提供公司股票而不是現金獎金來激發員工的忠誠度。")</f>
        <v>他們希望透過提供公司股票而不是現金獎金來激發員工的忠誠度。</v>
      </c>
    </row>
    <row r="477">
      <c r="A477" s="1" t="s">
        <v>1433</v>
      </c>
      <c r="B477" s="2" t="s">
        <v>1434</v>
      </c>
      <c r="C477" s="1" t="s">
        <v>279</v>
      </c>
      <c r="D477" s="1" t="s">
        <v>1435</v>
      </c>
      <c r="E477" s="3" t="str">
        <f>IFERROR(__xludf.DUMMYFUNCTION("GOOGLETRANSLATE(D477, ""en"", ""zh-tw"")"),"更高的獎金旨在激勵員工更加努力。")</f>
        <v>更高的獎金旨在激勵員工更加努力。</v>
      </c>
    </row>
    <row r="478">
      <c r="A478" s="1" t="s">
        <v>1436</v>
      </c>
      <c r="B478" s="2" t="s">
        <v>1437</v>
      </c>
      <c r="C478" s="1" t="s">
        <v>17</v>
      </c>
      <c r="D478" s="1" t="s">
        <v>1438</v>
      </c>
      <c r="E478" s="3" t="str">
        <f>IFERROR(__xludf.DUMMYFUNCTION("GOOGLETRANSLATE(D478, ""en"", ""zh-tw"")"),"經過一週日夜努力，我們的方案似乎要勝出了！")</f>
        <v>經過一週日夜努力，我們的方案似乎要勝出了！</v>
      </c>
    </row>
    <row r="479">
      <c r="A479" s="1" t="s">
        <v>1439</v>
      </c>
      <c r="B479" s="2" t="s">
        <v>1440</v>
      </c>
      <c r="C479" s="1" t="s">
        <v>7</v>
      </c>
      <c r="D479" s="1" t="s">
        <v>1441</v>
      </c>
      <c r="E479" s="3" t="str">
        <f>IFERROR(__xludf.DUMMYFUNCTION("GOOGLETRANSLATE(D479, ""en"", ""zh-tw"")"),"她積極主動地加入每個工作小組，因為她非常渴望提高自己的晉升機會。")</f>
        <v>她積極主動地加入每個工作小組，因為她非常渴望提高自己的晉升機會。</v>
      </c>
    </row>
    <row r="480">
      <c r="A480" s="1" t="s">
        <v>1442</v>
      </c>
      <c r="B480" s="2" t="s">
        <v>1443</v>
      </c>
      <c r="C480" s="1" t="s">
        <v>7</v>
      </c>
      <c r="D480" s="1" t="s">
        <v>1444</v>
      </c>
      <c r="E480" s="3" t="str">
        <f>IFERROR(__xludf.DUMMYFUNCTION("GOOGLETRANSLATE(D480, ""en"", ""zh-tw"")"),"我喜歡我的工作，但我真的很期待下週的假期。")</f>
        <v>我喜歡我的工作，但我真的很期待下週的假期。</v>
      </c>
    </row>
    <row r="481">
      <c r="A481" s="1" t="s">
        <v>1445</v>
      </c>
      <c r="B481" s="2" t="s">
        <v>1446</v>
      </c>
      <c r="C481" s="1" t="s">
        <v>7</v>
      </c>
      <c r="D481" s="1" t="s">
        <v>1447</v>
      </c>
      <c r="E481" s="3" t="str">
        <f>IFERROR(__xludf.DUMMYFUNCTION("GOOGLETRANSLATE(D481, ""en"", ""zh-tw"")"),"我希望公司今年發放獎金時，我忠誠的服務能得到回報。")</f>
        <v>我希望公司今年發放獎金時，我忠誠的服務能得到回報。</v>
      </c>
    </row>
    <row r="482">
      <c r="A482" s="1" t="s">
        <v>1448</v>
      </c>
      <c r="B482" s="2" t="s">
        <v>1449</v>
      </c>
      <c r="C482" s="1" t="s">
        <v>279</v>
      </c>
      <c r="D482" s="1" t="s">
        <v>1450</v>
      </c>
      <c r="E482" s="3" t="str">
        <f>IFERROR(__xludf.DUMMYFUNCTION("GOOGLETRANSLATE(D482, ""en"", ""zh-tw"")"),"我厭倦了總是與晉升失之交臂。我要跳槽到一家更重視能力而非資歷的公司。")</f>
        <v>我厭倦了總是與晉升失之交臂。我要跳槽到一家更重視能力而非資歷的公司。</v>
      </c>
    </row>
    <row r="483">
      <c r="A483" s="1" t="s">
        <v>1451</v>
      </c>
      <c r="B483" s="2" t="s">
        <v>1452</v>
      </c>
      <c r="C483" s="1" t="s">
        <v>279</v>
      </c>
      <c r="D483" s="1" t="s">
        <v>1453</v>
      </c>
      <c r="E483" s="3" t="str">
        <f>IFERROR(__xludf.DUMMYFUNCTION("GOOGLETRANSLATE(D483, ""en"", ""zh-tw"")"),"在新職位上，他大部分時間將用於客戶關係。")</f>
        <v>在新職位上，他大部分時間將用於客戶關係。</v>
      </c>
    </row>
    <row r="484">
      <c r="A484" s="1" t="s">
        <v>1454</v>
      </c>
      <c r="B484" s="2" t="s">
        <v>1455</v>
      </c>
      <c r="C484" s="1" t="s">
        <v>7</v>
      </c>
      <c r="D484" s="1" t="s">
        <v>1456</v>
      </c>
      <c r="E484" s="3" t="str">
        <f>IFERROR(__xludf.DUMMYFUNCTION("GOOGLETRANSLATE(D484, ""en"", ""zh-tw"")"),"我很驚訝他竟然得到了晉升，因為我覺得他領導工作團隊的能力並不強。")</f>
        <v>我很驚訝他竟然得到了晉升，因為我覺得他領導工作團隊的能力並不強。</v>
      </c>
    </row>
    <row r="485">
      <c r="A485" s="1" t="s">
        <v>1457</v>
      </c>
      <c r="B485" s="2" t="s">
        <v>1458</v>
      </c>
      <c r="C485" s="1" t="s">
        <v>7</v>
      </c>
      <c r="D485" s="1" t="s">
        <v>1459</v>
      </c>
      <c r="E485" s="3" t="str">
        <f>IFERROR(__xludf.DUMMYFUNCTION("GOOGLETRANSLATE(D485, ""en"", ""zh-tw"")"),"她一生中從收銀員一路晉升為財務官，這是一項非常了不起的成就。")</f>
        <v>她一生中從收銀員一路晉升為財務官，這是一項非常了不起的成就。</v>
      </c>
    </row>
    <row r="486">
      <c r="A486" s="1" t="s">
        <v>1460</v>
      </c>
      <c r="B486" s="2" t="s">
        <v>1461</v>
      </c>
      <c r="C486" s="1" t="s">
        <v>279</v>
      </c>
      <c r="D486" s="1" t="s">
        <v>1462</v>
      </c>
      <c r="E486" s="3" t="str">
        <f>IFERROR(__xludf.DUMMYFUNCTION("GOOGLETRANSLATE(D486, ""en"", ""zh-tw"")"),"鑑於生活成本上漲如此之快，我認為我們應該獲得薪資調整。")</f>
        <v>鑑於生活成本上漲如此之快，我認為我們應該獲得薪資調整。</v>
      </c>
    </row>
    <row r="487">
      <c r="A487" s="1" t="s">
        <v>1463</v>
      </c>
      <c r="B487" s="2" t="s">
        <v>1464</v>
      </c>
      <c r="C487" s="1" t="s">
        <v>279</v>
      </c>
      <c r="D487" s="1" t="s">
        <v>1465</v>
      </c>
      <c r="E487" s="3" t="str">
        <f>IFERROR(__xludf.DUMMYFUNCTION("GOOGLETRANSLATE(D487, ""en"", ""zh-tw"")"),"我在辦公室的工作時間比較靈活，但我必須從早上9點到下午5點隨時待命。")</f>
        <v>我在辦公室的工作時間比較靈活，但我必須從早上9點到下午5點隨時待命。</v>
      </c>
    </row>
    <row r="488">
      <c r="A488" s="1" t="s">
        <v>1466</v>
      </c>
      <c r="B488" s="2" t="s">
        <v>1467</v>
      </c>
      <c r="C488" s="1" t="s">
        <v>7</v>
      </c>
      <c r="D488" s="1" t="s">
        <v>1468</v>
      </c>
      <c r="E488" s="3" t="str">
        <f>IFERROR(__xludf.DUMMYFUNCTION("GOOGLETRANSLATE(D488, ""en"", ""zh-tw"")"),"他們正在討論設立薪資上限，並為層級中的每個層級設定不同的薪資限額。")</f>
        <v>他們正在討論設立薪資上限，並為層級中的每個層級設定不同的薪資限額。</v>
      </c>
    </row>
    <row r="489">
      <c r="A489" s="1" t="s">
        <v>1469</v>
      </c>
      <c r="B489" s="2" t="s">
        <v>1470</v>
      </c>
      <c r="C489" s="1" t="s">
        <v>7</v>
      </c>
      <c r="D489" s="1" t="s">
        <v>1471</v>
      </c>
      <c r="E489" s="3" t="str">
        <f>IFERROR(__xludf.DUMMYFUNCTION("GOOGLETRANSLATE(D489, ""en"", ""zh-tw"")"),"如果我無法盡快獲得加薪，我就要另找工作了。")</f>
        <v>如果我無法盡快獲得加薪，我就要另找工作了。</v>
      </c>
    </row>
    <row r="490">
      <c r="A490" s="1" t="s">
        <v>1472</v>
      </c>
      <c r="B490" s="2" t="s">
        <v>1473</v>
      </c>
      <c r="C490" s="1" t="s">
        <v>7</v>
      </c>
      <c r="D490" s="1" t="s">
        <v>1474</v>
      </c>
      <c r="E490" s="3" t="str">
        <f>IFERROR(__xludf.DUMMYFUNCTION("GOOGLETRANSLATE(D490, ""en"", ""zh-tw"")"),"如果生活成本持續上漲，公司就得提高員工的薪資。")</f>
        <v>如果生活成本持續上漲，公司就得提高員工的薪資。</v>
      </c>
    </row>
    <row r="491">
      <c r="A491" s="1" t="s">
        <v>1475</v>
      </c>
      <c r="B491" s="2" t="s">
        <v>1476</v>
      </c>
      <c r="C491" s="1" t="s">
        <v>7</v>
      </c>
      <c r="D491" s="1" t="s">
        <v>1477</v>
      </c>
      <c r="E491" s="3" t="str">
        <f>IFERROR(__xludf.DUMMYFUNCTION("GOOGLETRANSLATE(D491, ""en"", ""zh-tw"")"),"新工作的薪水很低，但是工作內容很有趣，所以我並不介意。")</f>
        <v>新工作的薪水很低，但是工作內容很有趣，所以我並不介意。</v>
      </c>
    </row>
    <row r="492">
      <c r="A492" s="1" t="s">
        <v>1478</v>
      </c>
      <c r="B492" s="2" t="s">
        <v>1479</v>
      </c>
      <c r="C492" s="1" t="s">
        <v>279</v>
      </c>
      <c r="D492" s="1" t="s">
        <v>1480</v>
      </c>
      <c r="E492" s="3" t="str">
        <f>IFERROR(__xludf.DUMMYFUNCTION("GOOGLETRANSLATE(D492, ""en"", ""zh-tw"")"),"1. 一旦他獲得終身教職，他的薪水就不會改變。 2. 在他擔任執行長期間，公司實現了全球擴張。")</f>
        <v>1. 一旦他獲得終身教職，他的薪水就不會改變。 2. 在他擔任執行長期間，公司實現了全球擴張。</v>
      </c>
    </row>
    <row r="493">
      <c r="A493" s="1" t="s">
        <v>1481</v>
      </c>
      <c r="B493" s="2" t="s">
        <v>1482</v>
      </c>
      <c r="C493" s="1" t="s">
        <v>7</v>
      </c>
      <c r="D493" s="1" t="s">
        <v>1483</v>
      </c>
      <c r="E493" s="3" t="str">
        <f>IFERROR(__xludf.DUMMYFUNCTION("GOOGLETRANSLATE(D493, ""en"", ""zh-tw"")"),"我認為我的薪水並不能反映我為公司創造的價值。")</f>
        <v>我認為我的薪水並不能反映我為公司創造的價值。</v>
      </c>
    </row>
    <row r="494">
      <c r="A494" s="1" t="s">
        <v>1484</v>
      </c>
      <c r="B494" s="2" t="s">
        <v>1476</v>
      </c>
      <c r="C494" s="1" t="s">
        <v>7</v>
      </c>
      <c r="D494" s="1" t="s">
        <v>1485</v>
      </c>
      <c r="E494" s="3" t="str">
        <f>IFERROR(__xludf.DUMMYFUNCTION("GOOGLETRANSLATE(D494, ""en"", ""zh-tw"")"),"我工作時間很長，所以我很高興自己是按小時計薪而不是拿固定工資。")</f>
        <v>我工作時間很長，所以我很高興自己是按小時計薪而不是拿固定工資。</v>
      </c>
    </row>
    <row r="495">
      <c r="A495" s="1" t="s">
        <v>1486</v>
      </c>
      <c r="B495" s="2" t="s">
        <v>1487</v>
      </c>
      <c r="C495" s="1" t="s">
        <v>7</v>
      </c>
      <c r="D495" s="1" t="s">
        <v>1488</v>
      </c>
      <c r="E495" s="3" t="str">
        <f>IFERROR(__xludf.DUMMYFUNCTION("GOOGLETRANSLATE(D495, ""en"", ""zh-tw"")"),"入職培訓的主要功能是介紹公司的文化和運作方式。")</f>
        <v>入職培訓的主要功能是介紹公司的文化和運作方式。</v>
      </c>
    </row>
    <row r="496">
      <c r="A496" s="1" t="s">
        <v>1489</v>
      </c>
      <c r="B496" s="2" t="s">
        <v>1490</v>
      </c>
      <c r="C496" s="1" t="s">
        <v>279</v>
      </c>
      <c r="D496" s="1" t="s">
        <v>1491</v>
      </c>
      <c r="E496" s="3" t="str">
        <f>IFERROR(__xludf.DUMMYFUNCTION("GOOGLETRANSLATE(D496, ""en"", ""zh-tw"")"),"新生入學指導期間將介紹知識產權管理相關規定。")</f>
        <v>新生入學指導期間將介紹知識產權管理相關規定。</v>
      </c>
    </row>
    <row r="497">
      <c r="A497" s="1" t="s">
        <v>1492</v>
      </c>
      <c r="B497" s="2" t="s">
        <v>1493</v>
      </c>
      <c r="C497" s="1" t="s">
        <v>7</v>
      </c>
      <c r="D497" s="1" t="s">
        <v>1494</v>
      </c>
      <c r="E497" s="3" t="str">
        <f>IFERROR(__xludf.DUMMYFUNCTION("GOOGLETRANSLATE(D497, ""en"", ""zh-tw"")"),"拉希德先生已同意為本月的研討會架設音響系統。")</f>
        <v>拉希德先生已同意為本月的研討會架設音響系統。</v>
      </c>
    </row>
    <row r="498">
      <c r="A498" s="1" t="s">
        <v>1495</v>
      </c>
      <c r="B498" s="2" t="s">
        <v>1496</v>
      </c>
      <c r="C498" s="1" t="s">
        <v>7</v>
      </c>
      <c r="D498" s="1" t="s">
        <v>1497</v>
      </c>
      <c r="E498" s="3" t="str">
        <f>IFERROR(__xludf.DUMMYFUNCTION("GOOGLETRANSLATE(D498, ""en"", ""zh-tw"")"),"與去年不同，今年新程式設計師必須參加第一階段的職前培訓。")</f>
        <v>與去年不同，今年新程式設計師必須參加第一階段的職前培訓。</v>
      </c>
    </row>
    <row r="499">
      <c r="A499" s="1" t="s">
        <v>1498</v>
      </c>
      <c r="B499" s="2" t="s">
        <v>1499</v>
      </c>
      <c r="C499" s="1" t="s">
        <v>7</v>
      </c>
      <c r="D499" s="1" t="s">
        <v>1500</v>
      </c>
      <c r="E499" s="3" t="str">
        <f>IFERROR(__xludf.DUMMYFUNCTION("GOOGLETRANSLATE(D499, ""en"", ""zh-tw"")"),"這次必修的培訓考察將著重於領導力，總統認為許多經理都缺乏這種能力。")</f>
        <v>這次必修的培訓考察將著重於領導力，總統認為許多經理都缺乏這種能力。</v>
      </c>
    </row>
    <row r="500">
      <c r="A500" s="1" t="s">
        <v>1501</v>
      </c>
      <c r="B500" s="2" t="s">
        <v>1502</v>
      </c>
      <c r="C500" s="1" t="s">
        <v>7</v>
      </c>
      <c r="D500" s="1" t="s">
        <v>1503</v>
      </c>
      <c r="E500" s="3" t="str">
        <f>IFERROR(__xludf.DUMMYFUNCTION("GOOGLETRANSLATE(D500, ""en"", ""zh-tw"")"),"我們需要找人來培訓員工使用新的辦公室軟體。")</f>
        <v>我們需要找人來培訓員工使用新的辦公室軟體。</v>
      </c>
    </row>
    <row r="501">
      <c r="A501" s="1" t="s">
        <v>1504</v>
      </c>
      <c r="B501" s="2" t="s">
        <v>1505</v>
      </c>
      <c r="C501" s="1" t="s">
        <v>279</v>
      </c>
      <c r="D501" s="1" t="s">
        <v>1506</v>
      </c>
      <c r="E501" s="3" t="str">
        <f>IFERROR(__xludf.DUMMYFUNCTION("GOOGLETRANSLATE(D501, ""en"", ""zh-tw"")"),"年度培訓課程於每年八月舉行。")</f>
        <v>年度培訓課程於每年八月舉行。</v>
      </c>
    </row>
    <row r="502">
      <c r="A502" s="1" t="s">
        <v>1507</v>
      </c>
      <c r="B502" s="2" t="s">
        <v>1508</v>
      </c>
      <c r="C502" s="1" t="s">
        <v>7</v>
      </c>
      <c r="D502" s="1" t="s">
        <v>1509</v>
      </c>
      <c r="E502" s="3" t="str">
        <f>IFERROR(__xludf.DUMMYFUNCTION("GOOGLETRANSLATE(D502, ""en"", ""zh-tw"")"),"我們希望匯聚最有動力、最有競爭力的員工。")</f>
        <v>我們希望匯聚最有動力、最有競爭力的員工。</v>
      </c>
    </row>
    <row r="503">
      <c r="A503" s="1" t="s">
        <v>1510</v>
      </c>
      <c r="B503" s="2" t="s">
        <v>1511</v>
      </c>
      <c r="C503" s="1" t="s">
        <v>7</v>
      </c>
      <c r="D503" s="1" t="s">
        <v>1512</v>
      </c>
      <c r="E503" s="3" t="str">
        <f>IFERROR(__xludf.DUMMYFUNCTION("GOOGLETRANSLATE(D503, ""en"", ""zh-tw"")"),"這次郊遊的目的是培養團隊合作精神。")</f>
        <v>這次郊遊的目的是培養團隊合作精神。</v>
      </c>
    </row>
    <row r="504">
      <c r="A504" s="1" t="s">
        <v>1513</v>
      </c>
      <c r="B504" s="2" t="s">
        <v>1514</v>
      </c>
      <c r="C504" s="1" t="s">
        <v>7</v>
      </c>
      <c r="D504" s="1" t="s">
        <v>1515</v>
      </c>
      <c r="E504" s="3" t="str">
        <f>IFERROR(__xludf.DUMMYFUNCTION("GOOGLETRANSLATE(D504, ""en"", ""zh-tw"")"),"1. 五位往屆學員將指導新學員完成課程。 2. 導遊帶我們參觀了博物館。")</f>
        <v>1. 五位往屆學員將指導新學員完成課程。 2. 導遊帶我們參觀了博物館。</v>
      </c>
    </row>
    <row r="505">
      <c r="A505" s="1" t="s">
        <v>1516</v>
      </c>
      <c r="B505" s="2" t="s">
        <v>1517</v>
      </c>
      <c r="C505" s="1" t="s">
        <v>279</v>
      </c>
      <c r="D505" s="1" t="s">
        <v>1518</v>
      </c>
      <c r="E505" s="3" t="str">
        <f>IFERROR(__xludf.DUMMYFUNCTION("GOOGLETRANSLATE(D505, ""en"", ""zh-tw"")"),"她說她不想當講師，儘管她會負責規劃培訓課程。")</f>
        <v>她說她不想當講師，儘管她會負責規劃培訓課程。</v>
      </c>
    </row>
    <row r="506">
      <c r="A506" s="1" t="s">
        <v>1519</v>
      </c>
      <c r="B506" s="2" t="s">
        <v>1520</v>
      </c>
      <c r="C506" s="1" t="s">
        <v>279</v>
      </c>
      <c r="D506" s="1" t="s">
        <v>1521</v>
      </c>
      <c r="E506" s="3" t="str">
        <f>IFERROR(__xludf.DUMMYFUNCTION("GOOGLETRANSLATE(D506, ""en"", ""zh-tw"")"),"每組學員將指派一名導師，在實務操作環節為他們提供協助。")</f>
        <v>每組學員將指派一名導師，在實務操作環節為他們提供協助。</v>
      </c>
    </row>
    <row r="507">
      <c r="A507" s="1" t="s">
        <v>1522</v>
      </c>
      <c r="B507" s="2" t="s">
        <v>1523</v>
      </c>
      <c r="C507" s="1" t="s">
        <v>279</v>
      </c>
      <c r="D507" s="1" t="s">
        <v>1524</v>
      </c>
      <c r="E507" s="3" t="str">
        <f>IFERROR(__xludf.DUMMYFUNCTION("GOOGLETRANSLATE(D507, ""en"", ""zh-tw"")"),"每節課持續兩小時，之後休息 20 分鐘。")</f>
        <v>每節課持續兩小時，之後休息 20 分鐘。</v>
      </c>
    </row>
    <row r="508">
      <c r="A508" s="1" t="s">
        <v>1525</v>
      </c>
      <c r="B508" s="2" t="s">
        <v>1526</v>
      </c>
      <c r="C508" s="1" t="s">
        <v>7</v>
      </c>
      <c r="D508" s="1" t="s">
        <v>1527</v>
      </c>
      <c r="E508" s="3" t="str">
        <f>IFERROR(__xludf.DUMMYFUNCTION("GOOGLETRANSLATE(D508, ""en"", ""zh-tw"")"),"今年的培訓研討會將在法蘭克福舉行。")</f>
        <v>今年的培訓研討會將在法蘭克福舉行。</v>
      </c>
    </row>
    <row r="509">
      <c r="A509" s="1" t="s">
        <v>1528</v>
      </c>
      <c r="B509" s="2" t="s">
        <v>1529</v>
      </c>
      <c r="C509" s="1" t="s">
        <v>17</v>
      </c>
      <c r="D509" s="1" t="s">
        <v>1530</v>
      </c>
      <c r="E509" s="3" t="str">
        <f>IFERROR(__xludf.DUMMYFUNCTION("GOOGLETRANSLATE(D509, ""en"", ""zh-tw"")"),"卡拉OK已成為生日派對上一種流行的娛樂形式。")</f>
        <v>卡拉OK已成為生日派對上一種流行的娛樂形式。</v>
      </c>
    </row>
    <row r="510">
      <c r="A510" s="1" t="s">
        <v>1531</v>
      </c>
      <c r="B510" s="2" t="s">
        <v>1532</v>
      </c>
      <c r="C510" s="1" t="s">
        <v>17</v>
      </c>
      <c r="D510" s="1" t="s">
        <v>1533</v>
      </c>
      <c r="E510" s="3" t="str">
        <f>IFERROR(__xludf.DUMMYFUNCTION("GOOGLETRANSLATE(D510, ""en"", ""zh-tw"")"),"務必邀請所有經理，甚至包括其他部門的經理。")</f>
        <v>務必邀請所有經理，甚至包括其他部門的經理。</v>
      </c>
    </row>
    <row r="511">
      <c r="A511" s="1" t="s">
        <v>1534</v>
      </c>
      <c r="B511" s="2" t="s">
        <v>1535</v>
      </c>
      <c r="C511" s="1" t="s">
        <v>7</v>
      </c>
      <c r="D511" s="1" t="s">
        <v>1536</v>
      </c>
      <c r="E511" s="3" t="str">
        <f>IFERROR(__xludf.DUMMYFUNCTION("GOOGLETRANSLATE(D511, ""en"", ""zh-tw"")"),"雖然不強制要求帶禮物，但強烈建議帶。")</f>
        <v>雖然不強制要求帶禮物，但強烈建議帶。</v>
      </c>
    </row>
    <row r="512">
      <c r="A512" s="1" t="s">
        <v>1537</v>
      </c>
      <c r="B512" s="2" t="s">
        <v>1538</v>
      </c>
      <c r="C512" s="1" t="s">
        <v>17</v>
      </c>
      <c r="D512" s="1" t="s">
        <v>1539</v>
      </c>
      <c r="E512" s="3" t="str">
        <f>IFERROR(__xludf.DUMMYFUNCTION("GOOGLETRANSLATE(D512, ""en"", ""zh-tw"")"),"歡迎大家參加凱西和史蒂夫的第一次迎嬰派對。")</f>
        <v>歡迎大家參加凱西和史蒂夫的第一次迎嬰派對。</v>
      </c>
    </row>
    <row r="513">
      <c r="A513" s="1" t="s">
        <v>1540</v>
      </c>
      <c r="B513" s="2" t="s">
        <v>1541</v>
      </c>
      <c r="C513" s="1" t="s">
        <v>7</v>
      </c>
      <c r="D513" s="1" t="s">
        <v>1542</v>
      </c>
      <c r="E513" s="3" t="str">
        <f>IFERROR(__xludf.DUMMYFUNCTION("GOOGLETRANSLATE(D513, ""en"", ""zh-tw"")"),"讓我第一個祝賀你即將步入婚姻殿堂，並祝你一切順利。")</f>
        <v>讓我第一個祝賀你即將步入婚姻殿堂，並祝你一切順利。</v>
      </c>
    </row>
    <row r="514">
      <c r="A514" s="1" t="s">
        <v>1543</v>
      </c>
      <c r="B514" s="2" t="s">
        <v>1544</v>
      </c>
      <c r="C514" s="1" t="s">
        <v>7</v>
      </c>
      <c r="D514" s="1" t="s">
        <v>1545</v>
      </c>
      <c r="E514" s="3" t="str">
        <f>IFERROR(__xludf.DUMMYFUNCTION("GOOGLETRANSLATE(D514, ""en"", ""zh-tw"")"),"凱瑞夫人是在告別派對之前還是之後退休？")</f>
        <v>凱瑞夫人是在告別派對之前還是之後退休？</v>
      </c>
    </row>
    <row r="515">
      <c r="A515" s="1" t="s">
        <v>1546</v>
      </c>
      <c r="B515" s="2" t="s">
        <v>1547</v>
      </c>
      <c r="C515" s="1" t="s">
        <v>17</v>
      </c>
      <c r="D515" s="1" t="s">
        <v>1548</v>
      </c>
      <c r="E515" s="3" t="str">
        <f>IFERROR(__xludf.DUMMYFUNCTION("GOOGLETRANSLATE(D515, ""en"", ""zh-tw"")"),"您認為在餐廳還是酒吧為史密斯先生舉辦告別派對比較好？")</f>
        <v>您認為在餐廳還是酒吧為史密斯先生舉辦告別派對比較好？</v>
      </c>
    </row>
    <row r="516">
      <c r="A516" s="1" t="s">
        <v>1549</v>
      </c>
      <c r="B516" s="2" t="s">
        <v>1550</v>
      </c>
      <c r="C516" s="1" t="s">
        <v>7</v>
      </c>
      <c r="D516" s="1" t="s">
        <v>1551</v>
      </c>
      <c r="E516" s="3" t="str">
        <f>IFERROR(__xludf.DUMMYFUNCTION("GOOGLETRANSLATE(D516, ""en"", ""zh-tw"")"),"有人決定好派對的主題是郵輪之旅還是在義大利度假嗎？")</f>
        <v>有人決定好派對的主題是郵輪之旅還是在義大利度假嗎？</v>
      </c>
    </row>
    <row r="517">
      <c r="A517" s="1" t="s">
        <v>1552</v>
      </c>
      <c r="B517" s="2" t="s">
        <v>1553</v>
      </c>
      <c r="C517" s="1" t="s">
        <v>279</v>
      </c>
      <c r="D517" s="1" t="s">
        <v>1554</v>
      </c>
      <c r="E517" s="3" t="str">
        <f>IFERROR(__xludf.DUMMYFUNCTION("GOOGLETRANSLATE(D517, ""en"", ""zh-tw"")"),"她將自己的成功歸功於同事和員工的支持。")</f>
        <v>她將自己的成功歸功於同事和員工的支持。</v>
      </c>
    </row>
    <row r="518">
      <c r="A518" s="1" t="s">
        <v>1555</v>
      </c>
      <c r="B518" s="2" t="s">
        <v>1556</v>
      </c>
      <c r="C518" s="1" t="s">
        <v>279</v>
      </c>
      <c r="D518" s="1" t="s">
        <v>1557</v>
      </c>
      <c r="E518" s="3" t="str">
        <f>IFERROR(__xludf.DUMMYFUNCTION("GOOGLETRANSLATE(D518, ""en"", ""zh-tw"")"),"總統將在晚宴後的頒獎典禮上頒發成就獎。")</f>
        <v>總統將在晚宴後的頒獎典禮上頒發成就獎。</v>
      </c>
    </row>
    <row r="519">
      <c r="A519" s="1" t="s">
        <v>1558</v>
      </c>
      <c r="B519" s="2" t="s">
        <v>1559</v>
      </c>
      <c r="C519" s="1" t="s">
        <v>279</v>
      </c>
      <c r="D519" s="1" t="s">
        <v>1560</v>
      </c>
      <c r="E519" s="3" t="str">
        <f>IFERROR(__xludf.DUMMYFUNCTION("GOOGLETRANSLATE(D519, ""en"", ""zh-tw"")"),"主辦單位已安排在飯店會議室舉行宴會。")</f>
        <v>主辦單位已安排在飯店會議室舉行宴會。</v>
      </c>
    </row>
    <row r="520">
      <c r="A520" s="1" t="s">
        <v>1561</v>
      </c>
      <c r="B520" s="2" t="s">
        <v>1562</v>
      </c>
      <c r="C520" s="1" t="s">
        <v>7</v>
      </c>
      <c r="D520" s="1" t="s">
        <v>1563</v>
      </c>
      <c r="E520" s="3" t="str">
        <f>IFERROR(__xludf.DUMMYFUNCTION("GOOGLETRANSLATE(D520, ""en"", ""zh-tw"")"),"總統演講結束後，我們將慶祝新員工加入公司。")</f>
        <v>總統演講結束後，我們將慶祝新員工加入公司。</v>
      </c>
    </row>
    <row r="521">
      <c r="A521" s="1" t="s">
        <v>1564</v>
      </c>
      <c r="B521" s="2" t="s">
        <v>1565</v>
      </c>
      <c r="C521" s="1" t="s">
        <v>279</v>
      </c>
      <c r="D521" s="1" t="s">
        <v>1566</v>
      </c>
      <c r="E521" s="3" t="str">
        <f>IFERROR(__xludf.DUMMYFUNCTION("GOOGLETRANSLATE(D521, ""en"", ""zh-tw"")"),"本次活動旨在紀念我們組織成立20週年。")</f>
        <v>本次活動旨在紀念我們組織成立20週年。</v>
      </c>
    </row>
    <row r="522">
      <c r="A522" s="1" t="s">
        <v>1567</v>
      </c>
      <c r="B522" s="2" t="s">
        <v>1568</v>
      </c>
      <c r="C522" s="1" t="s">
        <v>7</v>
      </c>
      <c r="D522" s="1" t="s">
        <v>1569</v>
      </c>
      <c r="E522" s="3" t="str">
        <f>IFERROR(__xludf.DUMMYFUNCTION("GOOGLETRANSLATE(D522, ""en"", ""zh-tw"")"),"今年聖誕派對有哪些活動計畫？")</f>
        <v>今年聖誕派對有哪些活動計畫？</v>
      </c>
    </row>
    <row r="523">
      <c r="A523" s="1" t="s">
        <v>1570</v>
      </c>
      <c r="B523" s="2" t="s">
        <v>1571</v>
      </c>
      <c r="C523" s="1" t="s">
        <v>7</v>
      </c>
      <c r="D523" s="1" t="s">
        <v>1572</v>
      </c>
      <c r="E523" s="3" t="str">
        <f>IFERROR(__xludf.DUMMYFUNCTION("GOOGLETRANSLATE(D523, ""en"", ""zh-tw"")"),"在中國，春節給孩子壓歲錢是一個古老的傳統。")</f>
        <v>在中國，春節給孩子壓歲錢是一個古老的傳統。</v>
      </c>
    </row>
    <row r="524">
      <c r="A524" s="1" t="s">
        <v>1573</v>
      </c>
      <c r="B524" s="2" t="s">
        <v>1574</v>
      </c>
      <c r="C524" s="1" t="s">
        <v>7</v>
      </c>
      <c r="D524" s="1" t="s">
        <v>1575</v>
      </c>
      <c r="E524" s="3" t="str">
        <f>IFERROR(__xludf.DUMMYFUNCTION("GOOGLETRANSLATE(D524, ""en"", ""zh-tw"")"),"將時間限制在三個小時內有助於我們保持節日氣氛；超過三個小時，人們會感到疲倦。")</f>
        <v>將時間限制在三個小時內有助於我們保持節日氣氛；超過三個小時，人們會感到疲倦。</v>
      </c>
    </row>
    <row r="525">
      <c r="A525" s="1" t="s">
        <v>1576</v>
      </c>
      <c r="B525" s="2" t="s">
        <v>1577</v>
      </c>
      <c r="C525" s="1" t="s">
        <v>7</v>
      </c>
      <c r="D525" s="1" t="s">
        <v>1578</v>
      </c>
      <c r="E525" s="3" t="str">
        <f>IFERROR(__xludf.DUMMYFUNCTION("GOOGLETRANSLATE(D525, ""en"", ""zh-tw"")"),"我們想提醒各位員工，今年萬聖節不允許穿戲服。")</f>
        <v>我們想提醒各位員工，今年萬聖節不允許穿戲服。</v>
      </c>
    </row>
    <row r="526">
      <c r="A526" s="1" t="s">
        <v>1579</v>
      </c>
      <c r="B526" s="2" t="s">
        <v>1580</v>
      </c>
      <c r="C526" s="1" t="s">
        <v>7</v>
      </c>
      <c r="D526" s="1" t="s">
        <v>1581</v>
      </c>
      <c r="E526" s="3" t="str">
        <f>IFERROR(__xludf.DUMMYFUNCTION("GOOGLETRANSLATE(D526, ""en"", ""zh-tw"")"),"員工應於晚上7點前集合參加新年派對。")</f>
        <v>員工應於晚上7點前集合參加新年派對。</v>
      </c>
    </row>
    <row r="527">
      <c r="A527" s="1" t="s">
        <v>1582</v>
      </c>
      <c r="B527" s="2" t="s">
        <v>1583</v>
      </c>
      <c r="C527" s="1" t="s">
        <v>7</v>
      </c>
      <c r="D527" s="1" t="s">
        <v>1584</v>
      </c>
      <c r="E527" s="3" t="str">
        <f>IFERROR(__xludf.DUMMYFUNCTION("GOOGLETRANSLATE(D527, ""en"", ""zh-tw"")"),"今年，我們將同時慶祝西方新年和中國新年。")</f>
        <v>今年，我們將同時慶祝西方新年和中國新年。</v>
      </c>
    </row>
    <row r="528">
      <c r="A528" s="1" t="s">
        <v>1585</v>
      </c>
      <c r="B528" s="2" t="s">
        <v>1586</v>
      </c>
      <c r="C528" s="1" t="s">
        <v>279</v>
      </c>
      <c r="D528" s="1" t="s">
        <v>1587</v>
      </c>
      <c r="E528" s="3" t="str">
        <f>IFERROR(__xludf.DUMMYFUNCTION("GOOGLETRANSLATE(D528, ""en"", ""zh-tw"")"),"約翰遜的結婚25週年紀念日是本週五，所以我們在辦公室為他舉辦一個小型派對。")</f>
        <v>約翰遜的結婚25週年紀念日是本週五，所以我們在辦公室為他舉辦一個小型派對。</v>
      </c>
    </row>
    <row r="529">
      <c r="A529" s="1" t="s">
        <v>1588</v>
      </c>
      <c r="B529" s="2" t="s">
        <v>1589</v>
      </c>
      <c r="C529" s="1" t="s">
        <v>7</v>
      </c>
      <c r="D529" s="1" t="s">
        <v>1590</v>
      </c>
      <c r="E529" s="3" t="str">
        <f>IFERROR(__xludf.DUMMYFUNCTION("GOOGLETRANSLATE(D529, ""en"", ""zh-tw"")"),"我想我代表在座各位表達了我對您多年來專業精神的欽佩之情。")</f>
        <v>我想我代表在座各位表達了我對您多年來專業精神的欽佩之情。</v>
      </c>
    </row>
    <row r="530">
      <c r="A530" s="1" t="s">
        <v>1591</v>
      </c>
      <c r="B530" s="2" t="s">
        <v>1592</v>
      </c>
      <c r="C530" s="1" t="s">
        <v>7</v>
      </c>
      <c r="D530" s="1" t="s">
        <v>1593</v>
      </c>
      <c r="E530" s="3" t="str">
        <f>IFERROR(__xludf.DUMMYFUNCTION("GOOGLETRANSLATE(D530, ""en"", ""zh-tw"")"),"規劃退休生活時，請務必考慮醫療費用上漲的可能性。")</f>
        <v>規劃退休生活時，請務必考慮醫療費用上漲的可能性。</v>
      </c>
    </row>
    <row r="531">
      <c r="A531" s="1" t="s">
        <v>1594</v>
      </c>
      <c r="B531" s="2" t="s">
        <v>1595</v>
      </c>
      <c r="C531" s="1" t="s">
        <v>279</v>
      </c>
      <c r="D531" s="1" t="s">
        <v>1596</v>
      </c>
      <c r="E531" s="3" t="str">
        <f>IFERROR(__xludf.DUMMYFUNCTION("GOOGLETRANSLATE(D531, ""en"", ""zh-tw"")"),"我簡直不敢相信山田太太55歲就能退休。")</f>
        <v>我簡直不敢相信山田太太55歲就能退休。</v>
      </c>
    </row>
    <row r="532">
      <c r="A532" s="1" t="s">
        <v>1597</v>
      </c>
      <c r="B532" s="2" t="s">
        <v>1598</v>
      </c>
      <c r="C532" s="1" t="s">
        <v>279</v>
      </c>
      <c r="D532" s="1" t="s">
        <v>1599</v>
      </c>
      <c r="E532" s="3" t="str">
        <f>IFERROR(__xludf.DUMMYFUNCTION("GOOGLETRANSLATE(D532, ""en"", ""zh-tw"")"),"我的修車師傅正在招學徒。")</f>
        <v>我的修車師傅正在招學徒。</v>
      </c>
    </row>
    <row r="533">
      <c r="A533" s="1" t="s">
        <v>1600</v>
      </c>
      <c r="B533" s="2" t="s">
        <v>1601</v>
      </c>
      <c r="C533" s="1" t="s">
        <v>7</v>
      </c>
      <c r="D533" s="1" t="s">
        <v>1602</v>
      </c>
      <c r="E533" s="3" t="str">
        <f>IFERROR(__xludf.DUMMYFUNCTION("GOOGLETRANSLATE(D533, ""en"", ""zh-tw"")"),"我忙不過來這些文書工作，我需要個助手。")</f>
        <v>我忙不過來這些文書工作，我需要個助手。</v>
      </c>
    </row>
    <row r="534">
      <c r="A534" s="1" t="s">
        <v>1603</v>
      </c>
      <c r="B534" s="2" t="s">
        <v>1604</v>
      </c>
      <c r="C534" s="1" t="s">
        <v>279</v>
      </c>
      <c r="D534" s="1" t="s">
        <v>1605</v>
      </c>
      <c r="E534" s="3" t="str">
        <f>IFERROR(__xludf.DUMMYFUNCTION("GOOGLETRANSLATE(D534, ""en"", ""zh-tw"")"),"這是我的生意夥伴喬治。")</f>
        <v>這是我的生意夥伴喬治。</v>
      </c>
    </row>
    <row r="535">
      <c r="A535" s="1" t="s">
        <v>1606</v>
      </c>
      <c r="B535" s="2" t="s">
        <v>1607</v>
      </c>
      <c r="C535" s="1" t="s">
        <v>7</v>
      </c>
      <c r="D535" s="1" t="s">
        <v>1608</v>
      </c>
      <c r="E535" s="3" t="str">
        <f>IFERROR(__xludf.DUMMYFUNCTION("GOOGLETRANSLATE(D535, ""en"", ""zh-tw"")"),"她負責北美地區的銷售工作。")</f>
        <v>她負責北美地區的銷售工作。</v>
      </c>
    </row>
    <row r="536">
      <c r="A536" s="1" t="s">
        <v>1609</v>
      </c>
      <c r="B536" s="2" t="s">
        <v>1610</v>
      </c>
      <c r="C536" s="1" t="s">
        <v>7</v>
      </c>
      <c r="D536" s="1" t="s">
        <v>1611</v>
      </c>
      <c r="E536" s="3" t="str">
        <f>IFERROR(__xludf.DUMMYFUNCTION("GOOGLETRANSLATE(D536, ""en"", ""zh-tw"")"),"部門裡至少有 10 個人比她低一級。")</f>
        <v>部門裡至少有 10 個人比她低一級。</v>
      </c>
    </row>
    <row r="537">
      <c r="A537" s="1" t="s">
        <v>1612</v>
      </c>
      <c r="B537" s="2" t="s">
        <v>1613</v>
      </c>
      <c r="C537" s="1" t="s">
        <v>279</v>
      </c>
      <c r="D537" s="1" t="s">
        <v>1614</v>
      </c>
      <c r="E537" s="3" t="str">
        <f>IFERROR(__xludf.DUMMYFUNCTION("GOOGLETRANSLATE(D537, ""en"", ""zh-tw"")"),"這是她第一次擔任管理職。")</f>
        <v>這是她第一次擔任管理職。</v>
      </c>
    </row>
    <row r="538">
      <c r="A538" s="1" t="s">
        <v>1615</v>
      </c>
      <c r="B538" s="2" t="s">
        <v>1616</v>
      </c>
      <c r="C538" s="1" t="s">
        <v>279</v>
      </c>
      <c r="D538" s="1" t="s">
        <v>1617</v>
      </c>
      <c r="E538" s="3" t="str">
        <f>IFERROR(__xludf.DUMMYFUNCTION("GOOGLETRANSLATE(D538, ""en"", ""zh-tw"")"),"人員變動頻繁，代表我永遠不知道誰才是我的真正老闆。")</f>
        <v>人員變動頻繁，代表我永遠不知道誰才是我的真正老闆。</v>
      </c>
    </row>
    <row r="539">
      <c r="A539" s="1" t="s">
        <v>1618</v>
      </c>
      <c r="B539" s="2" t="s">
        <v>1619</v>
      </c>
      <c r="C539" s="1" t="s">
        <v>17</v>
      </c>
      <c r="D539" s="1" t="s">
        <v>1620</v>
      </c>
      <c r="E539" s="3" t="str">
        <f>IFERROR(__xludf.DUMMYFUNCTION("GOOGLETRANSLATE(D539, ""en"", ""zh-tw"")"),"我以為我的作品已經很好了，但他的表現真的遠遠超出我的水準。")</f>
        <v>我以為我的作品已經很好了，但他的表現真的遠遠超出我的水準。</v>
      </c>
    </row>
    <row r="540">
      <c r="A540" s="1" t="s">
        <v>1621</v>
      </c>
      <c r="B540" s="2" t="s">
        <v>1622</v>
      </c>
      <c r="C540" s="1" t="s">
        <v>279</v>
      </c>
      <c r="D540" s="1" t="s">
        <v>1623</v>
      </c>
      <c r="E540" s="3" t="str">
        <f>IFERROR(__xludf.DUMMYFUNCTION("GOOGLETRANSLATE(D540, ""en"", ""zh-tw"")"),"如果他們不招些新人，他們將面臨嚴重的人事危機。")</f>
        <v>如果他們不招些新人，他們將面臨嚴重的人事危機。</v>
      </c>
    </row>
    <row r="541">
      <c r="A541" s="1" t="s">
        <v>1624</v>
      </c>
      <c r="B541" s="2" t="s">
        <v>1625</v>
      </c>
      <c r="C541" s="1" t="s">
        <v>7</v>
      </c>
      <c r="D541" s="1" t="s">
        <v>1626</v>
      </c>
      <c r="E541" s="3" t="str">
        <f>IFERROR(__xludf.DUMMYFUNCTION("GOOGLETRANSLATE(D541, ""en"", ""zh-tw"")"),"我希望被選為新的團隊領導。")</f>
        <v>我希望被選為新的團隊領導。</v>
      </c>
    </row>
    <row r="542">
      <c r="A542" s="1" t="s">
        <v>1627</v>
      </c>
      <c r="B542" s="2" t="s">
        <v>1628</v>
      </c>
      <c r="C542" s="1" t="s">
        <v>279</v>
      </c>
      <c r="D542" s="1" t="s">
        <v>1629</v>
      </c>
      <c r="E542" s="3" t="str">
        <f>IFERROR(__xludf.DUMMYFUNCTION("GOOGLETRANSLATE(D542, ""en"", ""zh-tw"")"),"我真的需要我的主管明確告訴我她想讓我做什麼。")</f>
        <v>我真的需要我的主管明確告訴我她想讓我做什麼。</v>
      </c>
    </row>
    <row r="543">
      <c r="A543" s="1" t="s">
        <v>1630</v>
      </c>
      <c r="B543" s="2" t="s">
        <v>1631</v>
      </c>
      <c r="C543" s="1" t="s">
        <v>279</v>
      </c>
      <c r="D543" s="1" t="s">
        <v>1632</v>
      </c>
      <c r="E543" s="3" t="str">
        <f>IFERROR(__xludf.DUMMYFUNCTION("GOOGLETRANSLATE(D543, ""en"", ""zh-tw"")"),"我們人手嚴重不足；這週我每天晚上都要工作到晚上10點。")</f>
        <v>我們人手嚴重不足；這週我每天晚上都要工作到晚上10點。</v>
      </c>
    </row>
    <row r="544">
      <c r="A544" s="1" t="s">
        <v>1633</v>
      </c>
      <c r="B544" s="2" t="s">
        <v>1634</v>
      </c>
      <c r="C544" s="1" t="s">
        <v>7</v>
      </c>
      <c r="D544" s="1" t="s">
        <v>1635</v>
      </c>
      <c r="E544" s="3" t="str">
        <f>IFERROR(__xludf.DUMMYFUNCTION("GOOGLETRANSLATE(D544, ""en"", ""zh-tw"")"),"他如果想獲得晉升，就必須學會更尊重上級。")</f>
        <v>他如果想獲得晉升，就必須學會更尊重上級。</v>
      </c>
    </row>
    <row r="545">
      <c r="A545" s="1" t="s">
        <v>1636</v>
      </c>
      <c r="B545" s="2" t="s">
        <v>1637</v>
      </c>
      <c r="C545" s="1" t="s">
        <v>7</v>
      </c>
      <c r="D545" s="1" t="s">
        <v>1638</v>
      </c>
      <c r="E545" s="3" t="str">
        <f>IFERROR(__xludf.DUMMYFUNCTION("GOOGLETRANSLATE(D545, ""en"", ""zh-tw"")"),"它只是一家小型企業，所以可能沒有足夠的人手來參與這些項目。")</f>
        <v>它只是一家小型企業，所以可能沒有足夠的人手來參與這些項目。</v>
      </c>
    </row>
    <row r="546">
      <c r="A546" s="1" t="s">
        <v>1639</v>
      </c>
      <c r="B546" s="2" t="s">
        <v>1640</v>
      </c>
      <c r="C546" s="1" t="s">
        <v>279</v>
      </c>
      <c r="D546" s="1" t="s">
        <v>1641</v>
      </c>
      <c r="E546" s="3" t="str">
        <f>IFERROR(__xludf.DUMMYFUNCTION("GOOGLETRANSLATE(D546, ""en"", ""zh-tw"")"),"在我找到新工作之前，我不想辭職。")</f>
        <v>在我找到新工作之前，我不想辭職。</v>
      </c>
    </row>
    <row r="547">
      <c r="A547" s="1" t="s">
        <v>1642</v>
      </c>
      <c r="B547" s="2" t="s">
        <v>1643</v>
      </c>
      <c r="C547" s="1" t="s">
        <v>279</v>
      </c>
      <c r="D547" s="1" t="s">
        <v>1644</v>
      </c>
      <c r="E547" s="3" t="str">
        <f>IFERROR(__xludf.DUMMYFUNCTION("GOOGLETRANSLATE(D547, ""en"", ""zh-tw"")"),"你完成作業了嗎？")</f>
        <v>你完成作業了嗎？</v>
      </c>
    </row>
    <row r="548">
      <c r="A548" s="1" t="s">
        <v>1645</v>
      </c>
      <c r="B548" s="2" t="s">
        <v>1646</v>
      </c>
      <c r="C548" s="1" t="s">
        <v>17</v>
      </c>
      <c r="D548" s="1" t="s">
        <v>1647</v>
      </c>
      <c r="E548" s="3" t="str">
        <f>IFERROR(__xludf.DUMMYFUNCTION("GOOGLETRANSLATE(D548, ""en"", ""zh-tw"")"),"她要我星期六替她上班，但我實在太忙了。")</f>
        <v>她要我星期六替她上班，但我實在太忙了。</v>
      </c>
    </row>
    <row r="549">
      <c r="A549" s="1" t="s">
        <v>1648</v>
      </c>
      <c r="B549" s="2" t="s">
        <v>1649</v>
      </c>
      <c r="C549" s="1" t="s">
        <v>279</v>
      </c>
      <c r="D549" s="1" t="s">
        <v>1650</v>
      </c>
      <c r="E549" s="3" t="str">
        <f>IFERROR(__xludf.DUMMYFUNCTION("GOOGLETRANSLATE(D549, ""en"", ""zh-tw"")"),"我這週都要上早班，所以不能熬夜。")</f>
        <v>我這週都要上早班，所以不能熬夜。</v>
      </c>
    </row>
    <row r="550">
      <c r="A550" s="1" t="s">
        <v>1651</v>
      </c>
      <c r="B550" s="2" t="s">
        <v>1652</v>
      </c>
      <c r="C550" s="1" t="s">
        <v>279</v>
      </c>
      <c r="D550" s="1" t="s">
        <v>1653</v>
      </c>
      <c r="E550" s="3" t="str">
        <f>IFERROR(__xludf.DUMMYFUNCTION("GOOGLETRANSLATE(D550, ""en"", ""zh-tw"")"),"他們決定讓銷售和市場部門合作制定新計劃。")</f>
        <v>他們決定讓銷售和市場部門合作制定新計劃。</v>
      </c>
    </row>
    <row r="551">
      <c r="A551" s="1" t="s">
        <v>1654</v>
      </c>
      <c r="B551" s="2" t="s">
        <v>1655</v>
      </c>
      <c r="C551" s="1" t="s">
        <v>7</v>
      </c>
      <c r="D551" s="1" t="s">
        <v>1656</v>
      </c>
      <c r="E551" s="3" t="str">
        <f>IFERROR(__xludf.DUMMYFUNCTION("GOOGLETRANSLATE(D551, ""en"", ""zh-tw"")"),"我們以前常常一起吃午飯，但是自從她調到另一個部門後，我就很少見到她了。")</f>
        <v>我們以前常常一起吃午飯，但是自從她調到另一個部門後，我就很少見到她了。</v>
      </c>
    </row>
    <row r="552">
      <c r="A552" s="1" t="s">
        <v>1657</v>
      </c>
      <c r="B552" s="2" t="s">
        <v>1658</v>
      </c>
      <c r="C552" s="1" t="s">
        <v>279</v>
      </c>
      <c r="D552" s="1" t="s">
        <v>1659</v>
      </c>
      <c r="E552" s="3" t="str">
        <f>IFERROR(__xludf.DUMMYFUNCTION("GOOGLETRANSLATE(D552, ""en"", ""zh-tw"")"),"他是設計團隊不可或缺的一員。沒有他，我真不知道該怎麼辦。")</f>
        <v>他是設計團隊不可或缺的一員。沒有他，我真不知道該怎麼辦。</v>
      </c>
    </row>
    <row r="553">
      <c r="A553" s="1" t="s">
        <v>1660</v>
      </c>
      <c r="B553" s="2" t="s">
        <v>1661</v>
      </c>
      <c r="C553" s="1" t="s">
        <v>279</v>
      </c>
      <c r="D553" s="1" t="s">
        <v>1662</v>
      </c>
      <c r="E553" s="3" t="str">
        <f>IFERROR(__xludf.DUMMYFUNCTION("GOOGLETRANSLATE(D553, ""en"", ""zh-tw"")"),"公司承諾，收購完成後，員工的待遇不會有任何改變。")</f>
        <v>公司承諾，收購完成後，員工的待遇不會有任何改變。</v>
      </c>
    </row>
    <row r="554">
      <c r="A554" s="1" t="s">
        <v>1663</v>
      </c>
      <c r="B554" s="2" t="s">
        <v>1664</v>
      </c>
      <c r="C554" s="1" t="s">
        <v>7</v>
      </c>
      <c r="D554" s="1" t="s">
        <v>1665</v>
      </c>
      <c r="E554" s="3" t="str">
        <f>IFERROR(__xludf.DUMMYFUNCTION("GOOGLETRANSLATE(D554, ""en"", ""zh-tw"")"),"我負責公司的收購流程。")</f>
        <v>我負責公司的收購流程。</v>
      </c>
    </row>
    <row r="555">
      <c r="A555" s="1" t="s">
        <v>1666</v>
      </c>
      <c r="B555" s="2" t="s">
        <v>1667</v>
      </c>
      <c r="C555" s="1" t="s">
        <v>279</v>
      </c>
      <c r="D555" s="1" t="s">
        <v>1668</v>
      </c>
      <c r="E555" s="3" t="str">
        <f>IFERROR(__xludf.DUMMYFUNCTION("GOOGLETRANSLATE(D555, ""en"", ""zh-tw"")"),"收購完成後一定會有裁員。")</f>
        <v>收購完成後一定會有裁員。</v>
      </c>
    </row>
    <row r="556">
      <c r="A556" s="1" t="s">
        <v>1669</v>
      </c>
      <c r="B556" s="2" t="s">
        <v>1670</v>
      </c>
      <c r="C556" s="1" t="s">
        <v>279</v>
      </c>
      <c r="D556" s="1" t="s">
        <v>1671</v>
      </c>
      <c r="E556" s="3" t="str">
        <f>IFERROR(__xludf.DUMMYFUNCTION("GOOGLETRANSLATE(D556, ""en"", ""zh-tw"")"),"他們派出了一支人力資源專家團隊，以確保過渡順利進行。")</f>
        <v>他們派出了一支人力資源專家團隊，以確保過渡順利進行。</v>
      </c>
    </row>
    <row r="557">
      <c r="A557" s="1" t="s">
        <v>1672</v>
      </c>
      <c r="B557" s="2" t="s">
        <v>1673</v>
      </c>
      <c r="C557" s="1" t="s">
        <v>279</v>
      </c>
      <c r="D557" s="1" t="s">
        <v>1674</v>
      </c>
      <c r="E557" s="3" t="str">
        <f>IFERROR(__xludf.DUMMYFUNCTION("GOOGLETRANSLATE(D557, ""en"", ""zh-tw"")"),"他們透過收購來剷除競爭對手。")</f>
        <v>他們透過收購來剷除競爭對手。</v>
      </c>
    </row>
    <row r="558">
      <c r="A558" s="1" t="s">
        <v>1675</v>
      </c>
      <c r="B558" s="2" t="s">
        <v>1676</v>
      </c>
      <c r="C558" s="1" t="s">
        <v>279</v>
      </c>
      <c r="D558" s="1" t="s">
        <v>1677</v>
      </c>
      <c r="E558" s="3" t="str">
        <f>IFERROR(__xludf.DUMMYFUNCTION("GOOGLETRANSLATE(D558, ""en"", ""zh-tw"")"),"我認為只有公司律師才能回答這些問題。")</f>
        <v>我認為只有公司律師才能回答這些問題。</v>
      </c>
    </row>
    <row r="559">
      <c r="A559" s="1" t="s">
        <v>1678</v>
      </c>
      <c r="B559" s="2" t="s">
        <v>1679</v>
      </c>
      <c r="C559" s="1" t="s">
        <v>279</v>
      </c>
      <c r="D559" s="1" t="s">
        <v>1680</v>
      </c>
      <c r="E559" s="3" t="str">
        <f>IFERROR(__xludf.DUMMYFUNCTION("GOOGLETRANSLATE(D559, ""en"", ""zh-tw"")"),"這兩所知名機構的合併震驚了學術界。")</f>
        <v>這兩所知名機構的合併震驚了學術界。</v>
      </c>
    </row>
    <row r="560">
      <c r="A560" s="1" t="s">
        <v>1681</v>
      </c>
      <c r="B560" s="2" t="s">
        <v>1682</v>
      </c>
      <c r="C560" s="1" t="s">
        <v>279</v>
      </c>
      <c r="D560" s="1" t="s">
        <v>1683</v>
      </c>
      <c r="E560" s="3" t="str">
        <f>IFERROR(__xludf.DUMMYFUNCTION("GOOGLETRANSLATE(D560, ""en"", ""zh-tw"")"),"合併後公司會叫什麼名字？")</f>
        <v>合併後公司會叫什麼名字？</v>
      </c>
    </row>
    <row r="561">
      <c r="A561" s="1" t="s">
        <v>1684</v>
      </c>
      <c r="B561" s="2" t="s">
        <v>1685</v>
      </c>
      <c r="C561" s="1" t="s">
        <v>279</v>
      </c>
      <c r="D561" s="1" t="s">
        <v>1686</v>
      </c>
      <c r="E561" s="3" t="str">
        <f>IFERROR(__xludf.DUMMYFUNCTION("GOOGLETRANSLATE(D561, ""en"", ""zh-tw"")"),"作為合併的一部分，我們將把所有的設計工作轉移給他們。")</f>
        <v>作為合併的一部分，我們將把所有的設計工作轉移給他們。</v>
      </c>
    </row>
    <row r="562">
      <c r="A562" s="1" t="s">
        <v>1687</v>
      </c>
      <c r="B562" s="2" t="s">
        <v>1688</v>
      </c>
      <c r="C562" s="1" t="s">
        <v>279</v>
      </c>
      <c r="D562" s="1" t="s">
        <v>1689</v>
      </c>
      <c r="E562" s="3" t="str">
        <f>IFERROR(__xludf.DUMMYFUNCTION("GOOGLETRANSLATE(D562, ""en"", ""zh-tw"")"),"我簡直不敢相信執行長竟然任命自己的女兒擔任研究委員會主席！")</f>
        <v>我簡直不敢相信執行長竟然任命自己的女兒擔任研究委員會主席！</v>
      </c>
    </row>
    <row r="563">
      <c r="A563" s="1" t="s">
        <v>1690</v>
      </c>
      <c r="B563" s="2" t="s">
        <v>1691</v>
      </c>
      <c r="C563" s="1" t="s">
        <v>279</v>
      </c>
      <c r="D563" s="1" t="s">
        <v>1692</v>
      </c>
      <c r="E563" s="3" t="str">
        <f>IFERROR(__xludf.DUMMYFUNCTION("GOOGLETRANSLATE(D563, ""en"", ""zh-tw"")"),"所有董事會成員都已到位，所以我認為我們可以開始投票了。")</f>
        <v>所有董事會成員都已到位，所以我認為我們可以開始投票了。</v>
      </c>
    </row>
    <row r="564">
      <c r="A564" s="1" t="s">
        <v>1693</v>
      </c>
      <c r="B564" s="2" t="s">
        <v>1694</v>
      </c>
      <c r="C564" s="1" t="s">
        <v>279</v>
      </c>
      <c r="D564" s="1" t="s">
        <v>1695</v>
      </c>
      <c r="E564" s="3" t="str">
        <f>IFERROR(__xludf.DUMMYFUNCTION("GOOGLETRANSLATE(D564, ""en"", ""zh-tw"")"),"我覺得這是個好主意，但董事會非常保守，他們可能不會批准。")</f>
        <v>我覺得這是個好主意，但董事會非常保守，他們可能不會批准。</v>
      </c>
    </row>
    <row r="565">
      <c r="A565" s="1" t="s">
        <v>1696</v>
      </c>
      <c r="B565" s="2" t="s">
        <v>1697</v>
      </c>
      <c r="C565" s="1" t="s">
        <v>279</v>
      </c>
      <c r="D565" s="1" t="s">
        <v>1698</v>
      </c>
      <c r="E565" s="3" t="str">
        <f>IFERROR(__xludf.DUMMYFUNCTION("GOOGLETRANSLATE(D565, ""en"", ""zh-tw"")"),"所有高階主管現在都聚集在會議室。我想知道發生了什麼事。")</f>
        <v>所有高階主管現在都聚集在會議室。我想知道發生了什麼事。</v>
      </c>
    </row>
    <row r="566">
      <c r="A566" s="1" t="s">
        <v>1699</v>
      </c>
      <c r="B566" s="2" t="s">
        <v>1700</v>
      </c>
      <c r="C566" s="1" t="s">
        <v>7</v>
      </c>
      <c r="D566" s="1" t="s">
        <v>1701</v>
      </c>
      <c r="E566" s="3" t="str">
        <f>IFERROR(__xludf.DUMMYFUNCTION("GOOGLETRANSLATE(D566, ""en"", ""zh-tw"")"),"誰來領導研究團隊？")</f>
        <v>誰來領導研究團隊？</v>
      </c>
    </row>
    <row r="567">
      <c r="A567" s="1" t="s">
        <v>1702</v>
      </c>
      <c r="B567" s="2" t="s">
        <v>1703</v>
      </c>
      <c r="C567" s="1" t="s">
        <v>7</v>
      </c>
      <c r="D567" s="1" t="s">
        <v>1704</v>
      </c>
      <c r="E567" s="3" t="str">
        <f>IFERROR(__xludf.DUMMYFUNCTION("GOOGLETRANSLATE(D567, ""en"", ""zh-tw"")"),"他非常可靠，從未錯過任何截止日期。")</f>
        <v>他非常可靠，從未錯過任何截止日期。</v>
      </c>
    </row>
    <row r="568">
      <c r="A568" s="1" t="s">
        <v>1705</v>
      </c>
      <c r="B568" s="2" t="s">
        <v>1706</v>
      </c>
      <c r="C568" s="1" t="s">
        <v>7</v>
      </c>
      <c r="D568" s="1" t="s">
        <v>1707</v>
      </c>
      <c r="E568" s="3" t="str">
        <f>IFERROR(__xludf.DUMMYFUNCTION("GOOGLETRANSLATE(D568, ""en"", ""zh-tw"")"),"這次晉升其實只是換了個頭銜，我沒有任何新的職責。")</f>
        <v>這次晉升其實只是換了個頭銜，我沒有任何新的職責。</v>
      </c>
    </row>
    <row r="569">
      <c r="A569" s="1" t="s">
        <v>1708</v>
      </c>
      <c r="B569" s="2" t="s">
        <v>1709</v>
      </c>
      <c r="C569" s="1" t="s">
        <v>17</v>
      </c>
      <c r="D569" s="1" t="s">
        <v>1710</v>
      </c>
      <c r="E569" s="3" t="str">
        <f>IFERROR(__xludf.DUMMYFUNCTION("GOOGLETRANSLATE(D569, ""en"", ""zh-tw"")"),"內部採用木質鑲板，但外部是紅磚。")</f>
        <v>內部採用木質鑲板，但外部是紅磚。</v>
      </c>
    </row>
    <row r="570">
      <c r="A570" s="1" t="s">
        <v>1711</v>
      </c>
      <c r="B570" s="2" t="s">
        <v>1712</v>
      </c>
      <c r="C570" s="1" t="s">
        <v>17</v>
      </c>
      <c r="D570" s="1" t="s">
        <v>1713</v>
      </c>
      <c r="E570" s="3" t="str">
        <f>IFERROR(__xludf.DUMMYFUNCTION("GOOGLETRANSLATE(D570, ""en"", ""zh-tw"")"),"鋪設地毯有助於降低噪音。")</f>
        <v>鋪設地毯有助於降低噪音。</v>
      </c>
    </row>
    <row r="571">
      <c r="A571" s="1" t="s">
        <v>1714</v>
      </c>
      <c r="B571" s="2" t="s">
        <v>1715</v>
      </c>
      <c r="C571" s="1" t="s">
        <v>17</v>
      </c>
      <c r="D571" s="1" t="s">
        <v>1716</v>
      </c>
      <c r="E571" s="3" t="str">
        <f>IFERROR(__xludf.DUMMYFUNCTION("GOOGLETRANSLATE(D571, ""en"", ""zh-tw"")"),"由於沒有衣櫃，儲物空間將是一個問題。")</f>
        <v>由於沒有衣櫃，儲物空間將是一個問題。</v>
      </c>
    </row>
    <row r="572">
      <c r="A572" s="1" t="s">
        <v>1717</v>
      </c>
      <c r="B572" s="2" t="s">
        <v>1718</v>
      </c>
      <c r="C572" s="1" t="s">
        <v>279</v>
      </c>
      <c r="D572" s="1" t="s">
        <v>1719</v>
      </c>
      <c r="E572" s="3" t="str">
        <f>IFERROR(__xludf.DUMMYFUNCTION("GOOGLETRANSLATE(D572, ""en"", ""zh-tw"")"),"每個房間分為三個隔間，每個隔間都足夠大，可以容納三個隔間。")</f>
        <v>每個房間分為三個隔間，每個隔間都足夠大，可以容納三個隔間。</v>
      </c>
    </row>
    <row r="573">
      <c r="A573" s="1" t="s">
        <v>1720</v>
      </c>
      <c r="B573" s="2" t="s">
        <v>1721</v>
      </c>
      <c r="C573" s="1" t="s">
        <v>17</v>
      </c>
      <c r="D573" s="1" t="s">
        <v>1722</v>
      </c>
      <c r="E573" s="3" t="str">
        <f>IFERROR(__xludf.DUMMYFUNCTION("GOOGLETRANSLATE(D573, ""en"", ""zh-tw"")"),"南入口需要安裝新的門禁卡機。")</f>
        <v>南入口需要安裝新的門禁卡機。</v>
      </c>
    </row>
    <row r="574">
      <c r="A574" s="1" t="s">
        <v>1723</v>
      </c>
      <c r="B574" s="2" t="s">
        <v>1724</v>
      </c>
      <c r="C574" s="1" t="s">
        <v>279</v>
      </c>
      <c r="D574" s="1" t="s">
        <v>1725</v>
      </c>
      <c r="E574" s="3" t="str">
        <f>IFERROR(__xludf.DUMMYFUNCTION("GOOGLETRANSLATE(D574, ""en"", ""zh-tw"")"),"一個臨時的解決方案是租用一間帶家具的辦公室，但這會很昂貴。")</f>
        <v>一個臨時的解決方案是租用一間帶家具的辦公室，但這會很昂貴。</v>
      </c>
    </row>
    <row r="575">
      <c r="A575" s="1" t="s">
        <v>1726</v>
      </c>
      <c r="B575" s="2" t="s">
        <v>1727</v>
      </c>
      <c r="C575" s="1" t="s">
        <v>17</v>
      </c>
      <c r="D575" s="1" t="s">
        <v>1728</v>
      </c>
      <c r="E575" s="3" t="str">
        <f>IFERROR(__xludf.DUMMYFUNCTION("GOOGLETRANSLATE(D575, ""en"", ""zh-tw"")"),"車庫可容納三十輛轎車和兩輛卡車。")</f>
        <v>車庫可容納三十輛轎車和兩輛卡車。</v>
      </c>
    </row>
    <row r="576">
      <c r="A576" s="1" t="s">
        <v>1729</v>
      </c>
      <c r="B576" s="2" t="s">
        <v>1730</v>
      </c>
      <c r="C576" s="1" t="s">
        <v>279</v>
      </c>
      <c r="D576" s="1" t="s">
        <v>1731</v>
      </c>
      <c r="E576" s="3" t="str">
        <f>IFERROR(__xludf.DUMMYFUNCTION("GOOGLETRANSLATE(D576, ""en"", ""zh-tw"")"),"鑑於大廳擁有寬大的窗戶，應該足以讓訪客感到舒適。")</f>
        <v>鑑於大廳擁有寬大的窗戶，應該足以讓訪客感到舒適。</v>
      </c>
    </row>
    <row r="577">
      <c r="A577" s="1" t="s">
        <v>1732</v>
      </c>
      <c r="B577" s="2" t="s">
        <v>1733</v>
      </c>
      <c r="C577" s="1" t="s">
        <v>17</v>
      </c>
      <c r="D577" s="1" t="s">
        <v>1734</v>
      </c>
      <c r="E577" s="3" t="str">
        <f>IFERROR(__xludf.DUMMYFUNCTION("GOOGLETRANSLATE(D577, ""en"", ""zh-tw"")"),"我們需要在每個隔間安裝擱板，以便員工有地方展示個人物品。")</f>
        <v>我們需要在每個隔間安裝擱板，以便員工有地方展示個人物品。</v>
      </c>
    </row>
    <row r="578">
      <c r="A578" s="1" t="s">
        <v>1735</v>
      </c>
      <c r="B578" s="2" t="s">
        <v>1736</v>
      </c>
      <c r="C578" s="1" t="s">
        <v>7</v>
      </c>
      <c r="D578" s="1" t="s">
        <v>1737</v>
      </c>
      <c r="E578" s="3" t="str">
        <f>IFERROR(__xludf.DUMMYFUNCTION("GOOGLETRANSLATE(D578, ""en"", ""zh-tw"")"),"員工要求在員工休息室安裝一台冰箱。")</f>
        <v>員工要求在員工休息室安裝一台冰箱。</v>
      </c>
    </row>
    <row r="579">
      <c r="A579" s="1" t="s">
        <v>1738</v>
      </c>
      <c r="B579" s="2" t="s">
        <v>1739</v>
      </c>
      <c r="C579" s="1" t="s">
        <v>7</v>
      </c>
      <c r="D579" s="1" t="s">
        <v>1740</v>
      </c>
      <c r="E579" s="3" t="str">
        <f>IFERROR(__xludf.DUMMYFUNCTION("GOOGLETRANSLATE(D579, ""en"", ""zh-tw"")"),"北翼將容納IT部門和所有IT伺服器。")</f>
        <v>北翼將容納IT部門和所有IT伺服器。</v>
      </c>
    </row>
    <row r="580">
      <c r="A580" s="1" t="s">
        <v>1741</v>
      </c>
      <c r="B580" s="2" t="s">
        <v>1742</v>
      </c>
      <c r="C580" s="1" t="s">
        <v>7</v>
      </c>
      <c r="D580" s="1" t="s">
        <v>1743</v>
      </c>
      <c r="E580" s="3" t="str">
        <f>IFERROR(__xludf.DUMMYFUNCTION("GOOGLETRANSLATE(D580, ""en"", ""zh-tw"")"),"在如此狹窄的工作場所，我們能否保證安全？牆壁和機器人之間的空間非常有限。")</f>
        <v>在如此狹窄的工作場所，我們能否保證安全？牆壁和機器人之間的空間非常有限。</v>
      </c>
    </row>
    <row r="581">
      <c r="A581" s="1" t="s">
        <v>1744</v>
      </c>
      <c r="B581" s="2" t="s">
        <v>1745</v>
      </c>
      <c r="C581" s="1" t="s">
        <v>279</v>
      </c>
      <c r="D581" s="1" t="s">
        <v>1746</v>
      </c>
      <c r="E581" s="3" t="str">
        <f>IFERROR(__xludf.DUMMYFUNCTION("GOOGLETRANSLATE(D581, ""en"", ""zh-tw"")"),"隔壁的建築物擋住了大部分下午的陽光。")</f>
        <v>隔壁的建築物擋住了大部分下午的陽光。</v>
      </c>
    </row>
    <row r="582">
      <c r="A582" s="1" t="s">
        <v>1747</v>
      </c>
      <c r="B582" s="2" t="s">
        <v>1748</v>
      </c>
      <c r="C582" s="1" t="s">
        <v>7</v>
      </c>
      <c r="D582" s="1" t="s">
        <v>1749</v>
      </c>
      <c r="E582" s="3" t="str">
        <f>IFERROR(__xludf.DUMMYFUNCTION("GOOGLETRANSLATE(D582, ""en"", ""zh-tw"")"),"這條輔路很寬，我們的卡車行駛應該沒問題。")</f>
        <v>這條輔路很寬，我們的卡車行駛應該沒問題。</v>
      </c>
    </row>
    <row r="583">
      <c r="A583" s="1" t="s">
        <v>1750</v>
      </c>
      <c r="B583" s="2" t="s">
        <v>1751</v>
      </c>
      <c r="C583" s="1" t="s">
        <v>7</v>
      </c>
      <c r="D583" s="1" t="s">
        <v>1752</v>
      </c>
      <c r="E583" s="3" t="str">
        <f>IFERROR(__xludf.DUMMYFUNCTION("GOOGLETRANSLATE(D583, ""en"", ""zh-tw"")"),"附近沒有大型建築物，因此我們預計接收衛星訊號不會有任何問題。")</f>
        <v>附近沒有大型建築物，因此我們預計接收衛星訊號不會有任何問題。</v>
      </c>
    </row>
    <row r="584">
      <c r="A584" s="1" t="s">
        <v>1753</v>
      </c>
      <c r="B584" s="2" t="s">
        <v>1754</v>
      </c>
      <c r="C584" s="1" t="s">
        <v>7</v>
      </c>
      <c r="D584" s="1" t="s">
        <v>1755</v>
      </c>
      <c r="E584" s="3" t="str">
        <f>IFERROR(__xludf.DUMMYFUNCTION("GOOGLETRANSLATE(D584, ""en"", ""zh-tw"")"),"我們的新辦公室位於居民區，所以預計那裡會有很多房屋和學校。")</f>
        <v>我們的新辦公室位於居民區，所以預計那裡會有很多房屋和學校。</v>
      </c>
    </row>
    <row r="585">
      <c r="A585" s="1" t="s">
        <v>1756</v>
      </c>
      <c r="B585" s="2" t="s">
        <v>1757</v>
      </c>
      <c r="C585" s="1" t="s">
        <v>17</v>
      </c>
      <c r="D585" s="1" t="s">
        <v>1758</v>
      </c>
      <c r="E585" s="3" t="str">
        <f>IFERROR(__xludf.DUMMYFUNCTION("GOOGLETRANSLATE(D585, ""en"", ""zh-tw"")"),"倉庫裡太黑了，室內照明不足。")</f>
        <v>倉庫裡太黑了，室內照明不足。</v>
      </c>
    </row>
    <row r="586">
      <c r="A586" s="1" t="s">
        <v>1759</v>
      </c>
      <c r="B586" s="2" t="s">
        <v>1760</v>
      </c>
      <c r="C586" s="1" t="s">
        <v>7</v>
      </c>
      <c r="D586" s="1" t="s">
        <v>1761</v>
      </c>
      <c r="E586" s="3" t="str">
        <f>IFERROR(__xludf.DUMMYFUNCTION("GOOGLETRANSLATE(D586, ""en"", ""zh-tw"")"),"在選擇新工廠的選址時，鐵路和公路交通便利性是一個關鍵的考慮因素。")</f>
        <v>在選擇新工廠的選址時，鐵路和公路交通便利性是一個關鍵的考慮因素。</v>
      </c>
    </row>
    <row r="587">
      <c r="A587" s="1" t="s">
        <v>1762</v>
      </c>
      <c r="B587" s="2" t="s">
        <v>1763</v>
      </c>
      <c r="C587" s="1" t="s">
        <v>7</v>
      </c>
      <c r="D587" s="1" t="s">
        <v>1764</v>
      </c>
      <c r="E587" s="3" t="str">
        <f>IFERROR(__xludf.DUMMYFUNCTION("GOOGLETRANSLATE(D587, ""en"", ""zh-tw"")"),"週邊地區大多是公寓和便利商店，只有幾個小公園。")</f>
        <v>週邊地區大多是公寓和便利商店，只有幾個小公園。</v>
      </c>
    </row>
    <row r="588">
      <c r="A588" s="1" t="s">
        <v>1765</v>
      </c>
      <c r="B588" s="2" t="s">
        <v>1766</v>
      </c>
      <c r="C588" s="1" t="s">
        <v>279</v>
      </c>
      <c r="D588" s="1" t="s">
        <v>1767</v>
      </c>
      <c r="E588" s="3" t="str">
        <f>IFERROR(__xludf.DUMMYFUNCTION("GOOGLETRANSLATE(D588, ""en"", ""zh-tw"")"),"危險物質不能儲存在現場的容器中，必須運送到偏遠地點。")</f>
        <v>危險物質不能儲存在現場的容器中，必須運送到偏遠地點。</v>
      </c>
    </row>
    <row r="589">
      <c r="A589" s="1" t="s">
        <v>1768</v>
      </c>
      <c r="B589" s="2" t="s">
        <v>1769</v>
      </c>
      <c r="C589" s="1" t="s">
        <v>279</v>
      </c>
      <c r="D589" s="1" t="s">
        <v>1770</v>
      </c>
      <c r="E589" s="3" t="str">
        <f>IFERROR(__xludf.DUMMYFUNCTION("GOOGLETRANSLATE(D589, ""en"", ""zh-tw"")"),"露台夠寬敞，可以擺放三套桌椅。")</f>
        <v>露台夠寬敞，可以擺放三套桌椅。</v>
      </c>
    </row>
    <row r="590">
      <c r="A590" s="1" t="s">
        <v>1771</v>
      </c>
      <c r="B590" s="2" t="s">
        <v>1772</v>
      </c>
      <c r="C590" s="1" t="s">
        <v>279</v>
      </c>
      <c r="D590" s="1" t="s">
        <v>1773</v>
      </c>
      <c r="E590" s="3" t="str">
        <f>IFERROR(__xludf.DUMMYFUNCTION("GOOGLETRANSLATE(D590, ""en"", ""zh-tw"")"),"為符合安全規定，每個二樓平台都必須安裝欄桿。")</f>
        <v>為符合安全規定，每個二樓平台都必須安裝欄桿。</v>
      </c>
    </row>
    <row r="591">
      <c r="A591" s="1" t="s">
        <v>1774</v>
      </c>
      <c r="B591" s="2" t="s">
        <v>1775</v>
      </c>
      <c r="C591" s="1" t="s">
        <v>7</v>
      </c>
      <c r="D591" s="1" t="s">
        <v>1776</v>
      </c>
      <c r="E591" s="3" t="str">
        <f>IFERROR(__xludf.DUMMYFUNCTION("GOOGLETRANSLATE(D591, ""en"", ""zh-tw"")"),"市長辦公室正在考慮在街角豎立一座該鎮創始人的雕像。")</f>
        <v>市長辦公室正在考慮在街角豎立一座該鎮創始人的雕像。</v>
      </c>
    </row>
    <row r="592">
      <c r="A592" s="1" t="s">
        <v>1777</v>
      </c>
      <c r="B592" s="2" t="s">
        <v>1778</v>
      </c>
      <c r="C592" s="1" t="s">
        <v>279</v>
      </c>
      <c r="D592" s="1" t="s">
        <v>1779</v>
      </c>
      <c r="E592" s="3" t="str">
        <f>IFERROR(__xludf.DUMMYFUNCTION("GOOGLETRANSLATE(D592, ""en"", ""zh-tw"")"),"大多數郊區都有大量的住宅，一些服務於居民的小型企業，但幾乎沒有工業。")</f>
        <v>大多數郊區都有大量的住宅，一些服務於居民的小型企業，但幾乎沒有工業。</v>
      </c>
    </row>
    <row r="593">
      <c r="A593" s="1" t="s">
        <v>1780</v>
      </c>
      <c r="B593" s="2" t="s">
        <v>1781</v>
      </c>
      <c r="C593" s="1" t="s">
        <v>7</v>
      </c>
      <c r="D593" s="1" t="s">
        <v>1782</v>
      </c>
      <c r="E593" s="3" t="str">
        <f>IFERROR(__xludf.DUMMYFUNCTION("GOOGLETRANSLATE(D593, ""en"", ""zh-tw"")"),"該市規定，所有工廠周圍必須有不小於10公尺寬的綠帶。")</f>
        <v>該市規定，所有工廠周圍必須有不小於10公尺寬的綠帶。</v>
      </c>
    </row>
    <row r="594">
      <c r="A594" s="1" t="s">
        <v>1783</v>
      </c>
      <c r="B594" s="2" t="s">
        <v>1784</v>
      </c>
      <c r="C594" s="1" t="s">
        <v>7</v>
      </c>
      <c r="D594" s="1" t="s">
        <v>1785</v>
      </c>
      <c r="E594" s="3" t="str">
        <f>IFERROR(__xludf.DUMMYFUNCTION("GOOGLETRANSLATE(D594, ""en"", ""zh-tw"")"),"我們最近的環境影響評估表明，我們必須努力減少排放。")</f>
        <v>我們最近的環境影響評估表明，我們必須努力減少排放。</v>
      </c>
    </row>
    <row r="595">
      <c r="A595" s="1" t="s">
        <v>1786</v>
      </c>
      <c r="B595" s="2" t="s">
        <v>1787</v>
      </c>
      <c r="C595" s="1" t="s">
        <v>279</v>
      </c>
      <c r="D595" s="1" t="s">
        <v>1788</v>
      </c>
      <c r="E595" s="3" t="str">
        <f>IFERROR(__xludf.DUMMYFUNCTION("GOOGLETRANSLATE(D595, ""en"", ""zh-tw"")"),"這些公司宿舍具備中階飯店的所有標準設施，包括無線網路和有線電視。")</f>
        <v>這些公司宿舍具備中階飯店的所有標準設施，包括無線網路和有線電視。</v>
      </c>
    </row>
    <row r="596">
      <c r="A596" s="1" t="s">
        <v>1789</v>
      </c>
      <c r="B596" s="2" t="s">
        <v>1790</v>
      </c>
      <c r="C596" s="1" t="s">
        <v>17</v>
      </c>
      <c r="D596" s="1" t="s">
        <v>1791</v>
      </c>
      <c r="E596" s="3" t="str">
        <f>IFERROR(__xludf.DUMMYFUNCTION("GOOGLETRANSLATE(D596, ""en"", ""zh-tw"")"),"租金包含水、電等基本生活費用。")</f>
        <v>租金包含水、電等基本生活費用。</v>
      </c>
    </row>
    <row r="597">
      <c r="A597" s="1" t="s">
        <v>1792</v>
      </c>
      <c r="B597" s="2" t="s">
        <v>1793</v>
      </c>
      <c r="C597" s="1" t="s">
        <v>7</v>
      </c>
      <c r="D597" s="4" t="s">
        <v>1794</v>
      </c>
      <c r="E597" s="3" t="str">
        <f>IFERROR(__xludf.DUMMYFUNCTION("GOOGLETRANSLATE(D597, ""en"", ""zh-tw"")"),"對於任何需要便捷前往市中心的人來說，這裡地理位置十分便利。")</f>
        <v>對於任何需要便捷前往市中心的人來說，這裡地理位置十分便利。</v>
      </c>
    </row>
    <row r="598">
      <c r="A598" s="1" t="s">
        <v>1795</v>
      </c>
      <c r="B598" s="2" t="s">
        <v>1796</v>
      </c>
      <c r="C598" s="1" t="s">
        <v>7</v>
      </c>
      <c r="D598" s="1" t="s">
        <v>1797</v>
      </c>
      <c r="E598" s="3" t="str">
        <f>IFERROR(__xludf.DUMMYFUNCTION("GOOGLETRANSLATE(D598, ""en"", ""zh-tw"")"),"電力公司為當地擁有太陽能發電系統並產生多餘電力的家庭提供回購計畫。")</f>
        <v>電力公司為當地擁有太陽能發電系統並產生多餘電力的家庭提供回購計畫。</v>
      </c>
    </row>
    <row r="599">
      <c r="A599" s="1" t="s">
        <v>1798</v>
      </c>
      <c r="B599" s="2" t="s">
        <v>1799</v>
      </c>
      <c r="C599" s="1" t="s">
        <v>7</v>
      </c>
      <c r="D599" s="1" t="s">
        <v>1800</v>
      </c>
      <c r="E599" s="3" t="str">
        <f>IFERROR(__xludf.DUMMYFUNCTION("GOOGLETRANSLATE(D599, ""en"", ""zh-tw"")"),"總統正在考慮安裝地熱能源系統為大樓供暖。")</f>
        <v>總統正在考慮安裝地熱能源系統為大樓供暖。</v>
      </c>
    </row>
    <row r="600">
      <c r="A600" s="1" t="s">
        <v>1801</v>
      </c>
      <c r="B600" s="2" t="s">
        <v>1802</v>
      </c>
      <c r="C600" s="1" t="s">
        <v>7</v>
      </c>
      <c r="D600" s="1" t="s">
        <v>1803</v>
      </c>
      <c r="E600" s="3" t="str">
        <f>IFERROR(__xludf.DUMMYFUNCTION("GOOGLETRANSLATE(D600, ""en"", ""zh-tw"")"),"有什麼辦法可以降低我們的瓦斯費嗎？這已經連續三個月超出預算了。")</f>
        <v>有什麼辦法可以降低我們的瓦斯費嗎？這已經連續三個月超出預算了。</v>
      </c>
    </row>
    <row r="601">
      <c r="A601" s="1" t="s">
        <v>1804</v>
      </c>
      <c r="B601" s="2" t="s">
        <v>1805</v>
      </c>
      <c r="C601" s="1" t="s">
        <v>279</v>
      </c>
      <c r="D601" s="1" t="s">
        <v>1806</v>
      </c>
      <c r="E601" s="3" t="str">
        <f>IFERROR(__xludf.DUMMYFUNCTION("GOOGLETRANSLATE(D601, ""en"", ""zh-tw"")"),"鑑於我們辦公室用紙量很大，我們需要立即找到一家價格低廉的辦公用品供應商。")</f>
        <v>鑑於我們辦公室用紙量很大，我們需要立即找到一家價格低廉的辦公用品供應商。</v>
      </c>
    </row>
    <row r="602">
      <c r="A602" s="1" t="s">
        <v>1807</v>
      </c>
      <c r="B602" s="2" t="s">
        <v>1808</v>
      </c>
      <c r="C602" s="1" t="s">
        <v>279</v>
      </c>
      <c r="D602" s="1" t="s">
        <v>1809</v>
      </c>
      <c r="E602" s="3" t="str">
        <f>IFERROR(__xludf.DUMMYFUNCTION("GOOGLETRANSLATE(D602, ""en"", ""zh-tw"")"),"在我們需要優先接通的各種公用設施中，電力和天然氣是最重要的。")</f>
        <v>在我們需要優先接通的各種公用設施中，電力和天然氣是最重要的。</v>
      </c>
    </row>
    <row r="603">
      <c r="A603" s="1" t="s">
        <v>1810</v>
      </c>
      <c r="B603" s="2" t="s">
        <v>1811</v>
      </c>
      <c r="C603" s="1" t="s">
        <v>7</v>
      </c>
      <c r="D603" s="1" t="s">
        <v>1812</v>
      </c>
      <c r="E603" s="3" t="str">
        <f>IFERROR(__xludf.DUMMYFUNCTION("GOOGLETRANSLATE(D603, ""en"", ""zh-tw"")"),"大樓前後入口均設有監視器。")</f>
        <v>大樓前後入口均設有監視器。</v>
      </c>
    </row>
    <row r="604">
      <c r="A604" s="1" t="s">
        <v>1813</v>
      </c>
      <c r="B604" s="2" t="s">
        <v>1814</v>
      </c>
      <c r="C604" s="1" t="s">
        <v>279</v>
      </c>
      <c r="D604" s="1" t="s">
        <v>1815</v>
      </c>
      <c r="E604" s="3" t="str">
        <f>IFERROR(__xludf.DUMMYFUNCTION("GOOGLETRANSLATE(D604, ""en"", ""zh-tw"")"),"租金太高了；如果我們買個地方長期使用會比較便宜。")</f>
        <v>租金太高了；如果我們買個地方長期使用會比較便宜。</v>
      </c>
    </row>
    <row r="605">
      <c r="A605" s="1" t="s">
        <v>1816</v>
      </c>
      <c r="B605" s="2" t="s">
        <v>1817</v>
      </c>
      <c r="C605" s="1" t="s">
        <v>279</v>
      </c>
      <c r="D605" s="1" t="s">
        <v>1818</v>
      </c>
      <c r="E605" s="3" t="str">
        <f>IFERROR(__xludf.DUMMYFUNCTION("GOOGLETRANSLATE(D605, ""en"", ""zh-tw"")"),"在考慮申請抵押貸款之前，我們先來看看租用辦公空間的情況。")</f>
        <v>在考慮申請抵押貸款之前，我們先來看看租用辦公空間的情況。</v>
      </c>
    </row>
    <row r="606">
      <c r="A606" s="1" t="s">
        <v>1819</v>
      </c>
      <c r="B606" s="2" t="s">
        <v>1820</v>
      </c>
      <c r="C606" s="1" t="s">
        <v>279</v>
      </c>
      <c r="D606" s="1" t="s">
        <v>1821</v>
      </c>
      <c r="E606" s="3" t="str">
        <f>IFERROR(__xludf.DUMMYFUNCTION("GOOGLETRANSLATE(D606, ""en"", ""zh-tw"")"),"實際上，內牆並非固定不變；它們可以拆除以創造一個更大的空間。")</f>
        <v>實際上，內牆並非固定不變；它們可以拆除以創造一個更大的空間。</v>
      </c>
    </row>
    <row r="607">
      <c r="A607" s="1" t="s">
        <v>1822</v>
      </c>
      <c r="B607" s="2" t="s">
        <v>1823</v>
      </c>
      <c r="C607" s="1" t="s">
        <v>279</v>
      </c>
      <c r="D607" s="1" t="s">
        <v>1824</v>
      </c>
      <c r="E607" s="3" t="str">
        <f>IFERROR(__xludf.DUMMYFUNCTION("GOOGLETRANSLATE(D607, ""en"", ""zh-tw"")"),"之前的租戶沒有進行必要的維護，所以這處房產需要大量的清潔和維修。")</f>
        <v>之前的租戶沒有進行必要的維護，所以這處房產需要大量的清潔和維修。</v>
      </c>
    </row>
    <row r="608">
      <c r="A608" s="1" t="s">
        <v>1825</v>
      </c>
      <c r="B608" s="2" t="s">
        <v>1826</v>
      </c>
      <c r="C608" s="1" t="s">
        <v>279</v>
      </c>
      <c r="D608" s="1" t="s">
        <v>1827</v>
      </c>
      <c r="E608" s="3" t="str">
        <f>IFERROR(__xludf.DUMMYFUNCTION("GOOGLETRANSLATE(D608, ""en"", ""zh-tw"")"),"自原業主過世後，該房產一直由受託人管理。")</f>
        <v>自原業主過世後，該房產一直由受託人管理。</v>
      </c>
    </row>
    <row r="609">
      <c r="A609" s="1" t="s">
        <v>1828</v>
      </c>
      <c r="B609" s="2" t="s">
        <v>1829</v>
      </c>
      <c r="C609" s="1" t="s">
        <v>17</v>
      </c>
      <c r="D609" s="1" t="s">
        <v>1830</v>
      </c>
      <c r="E609" s="3" t="str">
        <f>IFERROR(__xludf.DUMMYFUNCTION("GOOGLETRANSLATE(D609, ""en"", ""zh-tw"")"),"你寫完後我可以藉這本書嗎？")</f>
        <v>你寫完後我可以藉這本書嗎？</v>
      </c>
    </row>
    <row r="610">
      <c r="A610" s="1" t="s">
        <v>1831</v>
      </c>
      <c r="B610" s="2" t="s">
        <v>1832</v>
      </c>
      <c r="C610" s="1" t="s">
        <v>279</v>
      </c>
      <c r="D610" s="1" t="s">
        <v>1833</v>
      </c>
      <c r="E610" s="3" t="str">
        <f>IFERROR(__xludf.DUMMYFUNCTION("GOOGLETRANSLATE(D610, ""en"", ""zh-tw"")"),"1. 我們還沒用完會議室－可以延到下午3點嗎？ 2. 請撥打分機201聯絡經理。")</f>
        <v>1. 我們還沒用完會議室－可以延到下午3點嗎？ 2. 請撥打分機201聯絡經理。</v>
      </c>
    </row>
    <row r="611">
      <c r="A611" s="1" t="s">
        <v>1834</v>
      </c>
      <c r="B611" s="2" t="s">
        <v>1835</v>
      </c>
      <c r="C611" s="1" t="s">
        <v>17</v>
      </c>
      <c r="D611" s="1" t="s">
        <v>1836</v>
      </c>
      <c r="E611" s="3" t="str">
        <f>IFERROR(__xludf.DUMMYFUNCTION("GOOGLETRANSLATE(D611, ""en"", ""zh-tw"")"),"我正在尋找出租公寓，但我希望不久後能買一棟房子。")</f>
        <v>我正在尋找出租公寓，但我希望不久後能買一棟房子。</v>
      </c>
    </row>
    <row r="612">
      <c r="A612" s="1" t="s">
        <v>1837</v>
      </c>
      <c r="B612" s="2" t="s">
        <v>1838</v>
      </c>
      <c r="C612" s="1" t="s">
        <v>7</v>
      </c>
      <c r="D612" s="1" t="s">
        <v>1839</v>
      </c>
      <c r="E612" s="3" t="str">
        <f>IFERROR(__xludf.DUMMYFUNCTION("GOOGLETRANSLATE(D612, ""en"", ""zh-tw"")"),"我打算預訂麵包車送我們去參加公司野餐。")</f>
        <v>我打算預訂麵包車送我們去參加公司野餐。</v>
      </c>
    </row>
    <row r="613">
      <c r="A613" s="1" t="s">
        <v>1840</v>
      </c>
      <c r="B613" s="2" t="s">
        <v>1841</v>
      </c>
      <c r="C613" s="1" t="s">
        <v>17</v>
      </c>
      <c r="D613" s="1" t="s">
        <v>1842</v>
      </c>
      <c r="E613" s="3" t="str">
        <f>IFERROR(__xludf.DUMMYFUNCTION("GOOGLETRANSLATE(D613, ""en"", ""zh-tw"")"),"這塊平板電腦是誰的？")</f>
        <v>這塊平板電腦是誰的？</v>
      </c>
    </row>
    <row r="614">
      <c r="A614" s="1" t="s">
        <v>1843</v>
      </c>
      <c r="B614" s="2" t="s">
        <v>1844</v>
      </c>
      <c r="C614" s="1" t="s">
        <v>279</v>
      </c>
      <c r="D614" s="1" t="s">
        <v>1845</v>
      </c>
      <c r="E614" s="3" t="str">
        <f>IFERROR(__xludf.DUMMYFUNCTION("GOOGLETRANSLATE(D614, ""en"", ""zh-tw"")"),"它無法修復，除了拆除別無他法。")</f>
        <v>它無法修復，除了拆除別無他法。</v>
      </c>
    </row>
    <row r="615">
      <c r="A615" s="1" t="s">
        <v>1846</v>
      </c>
      <c r="B615" s="2" t="s">
        <v>1847</v>
      </c>
      <c r="C615" s="1" t="s">
        <v>279</v>
      </c>
      <c r="D615" s="1" t="s">
        <v>1848</v>
      </c>
      <c r="E615" s="3" t="str">
        <f>IFERROR(__xludf.DUMMYFUNCTION("GOOGLETRANSLATE(D615, ""en"", ""zh-tw"")"),"廢電池該如何處理？")</f>
        <v>廢電池該如何處理？</v>
      </c>
    </row>
    <row r="616">
      <c r="A616" s="1" t="s">
        <v>1849</v>
      </c>
      <c r="B616" s="2" t="s">
        <v>1850</v>
      </c>
      <c r="C616" s="1" t="s">
        <v>279</v>
      </c>
      <c r="D616" s="1" t="s">
        <v>1851</v>
      </c>
      <c r="E616" s="3" t="str">
        <f>IFERROR(__xludf.DUMMYFUNCTION("GOOGLETRANSLATE(D616, ""en"", ""zh-tw"")"),"這間公寓現在很破舊，但想像一下，如果我們翻新一下，它會變得多麼漂亮！")</f>
        <v>這間公寓現在很破舊，但想像一下，如果我們翻新一下，它會變得多麼漂亮！</v>
      </c>
    </row>
    <row r="617">
      <c r="A617" s="1" t="s">
        <v>1852</v>
      </c>
      <c r="B617" s="2" t="s">
        <v>1853</v>
      </c>
      <c r="C617" s="1" t="s">
        <v>7</v>
      </c>
      <c r="D617" s="1" t="s">
        <v>1854</v>
      </c>
      <c r="E617" s="3" t="str">
        <f>IFERROR(__xludf.DUMMYFUNCTION("GOOGLETRANSLATE(D617, ""en"", ""zh-tw"")"),"你知道哪裡有修手錶的店嗎？")</f>
        <v>你知道哪裡有修手錶的店嗎？</v>
      </c>
    </row>
    <row r="618">
      <c r="A618" s="1" t="s">
        <v>1855</v>
      </c>
      <c r="B618" s="2" t="s">
        <v>1856</v>
      </c>
      <c r="C618" s="1" t="s">
        <v>279</v>
      </c>
      <c r="D618" s="1" t="s">
        <v>1857</v>
      </c>
      <c r="E618" s="3" t="str">
        <f>IFERROR(__xludf.DUMMYFUNCTION("GOOGLETRANSLATE(D618, ""en"", ""zh-tw"")"),"恐怕我們今天得佔用唯一的會議室一整天了。")</f>
        <v>恐怕我們今天得佔用唯一的會議室一整天了。</v>
      </c>
    </row>
    <row r="619">
      <c r="A619" s="1" t="s">
        <v>1858</v>
      </c>
      <c r="B619" s="2" t="s">
        <v>1859</v>
      </c>
      <c r="C619" s="1" t="s">
        <v>17</v>
      </c>
      <c r="D619" s="1" t="s">
        <v>1860</v>
      </c>
      <c r="E619" s="3" t="str">
        <f>IFERROR(__xludf.DUMMYFUNCTION("GOOGLETRANSLATE(D619, ""en"", ""zh-tw"")"),"我和湯姆‧史密斯共用一間辦公室。")</f>
        <v>我和湯姆‧史密斯共用一間辦公室。</v>
      </c>
    </row>
    <row r="620">
      <c r="A620" s="1" t="s">
        <v>1861</v>
      </c>
      <c r="B620" s="2" t="s">
        <v>1862</v>
      </c>
      <c r="C620" s="1" t="s">
        <v>7</v>
      </c>
      <c r="D620" s="1" t="s">
        <v>1863</v>
      </c>
      <c r="E620" s="3" t="str">
        <f>IFERROR(__xludf.DUMMYFUNCTION("GOOGLETRANSLATE(D620, ""en"", ""zh-tw"")"),"我們沒有固定的辦公用品補貨時間表，而是根據需要隨時補貨。")</f>
        <v>我們沒有固定的辦公用品補貨時間表，而是根據需要隨時補貨。</v>
      </c>
    </row>
    <row r="621">
      <c r="A621" s="1" t="s">
        <v>1864</v>
      </c>
      <c r="B621" s="2" t="s">
        <v>1865</v>
      </c>
      <c r="C621" s="1" t="s">
        <v>7</v>
      </c>
      <c r="D621" s="1" t="s">
        <v>1866</v>
      </c>
      <c r="E621" s="3" t="str">
        <f>IFERROR(__xludf.DUMMYFUNCTION("GOOGLETRANSLATE(D621, ""en"", ""zh-tw"")"),"你提出的方案行不通。你能給我一個替代方案嗎？")</f>
        <v>你提出的方案行不通。你能給我一個替代方案嗎？</v>
      </c>
    </row>
    <row r="622">
      <c r="A622" s="1" t="s">
        <v>1867</v>
      </c>
      <c r="B622" s="2" t="s">
        <v>1868</v>
      </c>
      <c r="C622" s="1" t="s">
        <v>17</v>
      </c>
      <c r="D622" s="1" t="s">
        <v>1869</v>
      </c>
      <c r="E622" s="3" t="str">
        <f>IFERROR(__xludf.DUMMYFUNCTION("GOOGLETRANSLATE(D622, ""en"", ""zh-tw"")"),"我以前從未做過這件事，所以請盡可能詳細地說明。")</f>
        <v>我以前從未做過這件事，所以請盡可能詳細地說明。</v>
      </c>
    </row>
    <row r="623">
      <c r="A623" s="1" t="s">
        <v>1870</v>
      </c>
      <c r="B623" s="2" t="s">
        <v>1871</v>
      </c>
      <c r="C623" s="1" t="s">
        <v>279</v>
      </c>
      <c r="D623" s="1" t="s">
        <v>1872</v>
      </c>
      <c r="E623" s="3" t="str">
        <f>IFERROR(__xludf.DUMMYFUNCTION("GOOGLETRANSLATE(D623, ""en"", ""zh-tw"")"),"我以為可以自己組裝，但是說明書完全不夠用。")</f>
        <v>我以為可以自己組裝，但是說明書完全不夠用。</v>
      </c>
    </row>
    <row r="624">
      <c r="A624" s="1" t="s">
        <v>1873</v>
      </c>
      <c r="B624" s="2" t="s">
        <v>1874</v>
      </c>
      <c r="C624" s="1" t="s">
        <v>17</v>
      </c>
      <c r="D624" s="1" t="s">
        <v>1875</v>
      </c>
      <c r="E624" s="3" t="str">
        <f>IFERROR(__xludf.DUMMYFUNCTION("GOOGLETRANSLATE(D624, ""en"", ""zh-tw"")"),"安裝好螺栓後，慢慢轉動齒輪。")</f>
        <v>安裝好螺栓後，慢慢轉動齒輪。</v>
      </c>
    </row>
    <row r="625">
      <c r="A625" s="1" t="s">
        <v>1876</v>
      </c>
      <c r="B625" s="2" t="s">
        <v>1877</v>
      </c>
      <c r="C625" s="1" t="s">
        <v>7</v>
      </c>
      <c r="D625" s="1" t="s">
        <v>1878</v>
      </c>
      <c r="E625" s="3" t="str">
        <f>IFERROR(__xludf.DUMMYFUNCTION("GOOGLETRANSLATE(D625, ""en"", ""zh-tw"")"),"定期搖晃罐子，以免油漆沉澱。")</f>
        <v>定期搖晃罐子，以免油漆沉澱。</v>
      </c>
    </row>
    <row r="626">
      <c r="A626" s="1" t="s">
        <v>1879</v>
      </c>
      <c r="B626" s="2" t="s">
        <v>1880</v>
      </c>
      <c r="C626" s="1" t="s">
        <v>7</v>
      </c>
      <c r="D626" s="1" t="s">
        <v>1881</v>
      </c>
      <c r="E626" s="3" t="str">
        <f>IFERROR(__xludf.DUMMYFUNCTION("GOOGLETRANSLATE(D626, ""en"", ""zh-tw"")"),"這個過程非常簡單，我覺得不需要看說明書。")</f>
        <v>這個過程非常簡單，我覺得不需要看說明書。</v>
      </c>
    </row>
    <row r="627">
      <c r="A627" s="1" t="s">
        <v>1882</v>
      </c>
      <c r="B627" s="2" t="s">
        <v>1883</v>
      </c>
      <c r="C627" s="1" t="s">
        <v>7</v>
      </c>
      <c r="D627" s="1" t="s">
        <v>1884</v>
      </c>
      <c r="E627" s="3" t="str">
        <f>IFERROR(__xludf.DUMMYFUNCTION("GOOGLETRANSLATE(D627, ""en"", ""zh-tw"")"),"固定好把手，然後啟動機器。")</f>
        <v>固定好把手，然後啟動機器。</v>
      </c>
    </row>
    <row r="628">
      <c r="A628" s="1" t="s">
        <v>1885</v>
      </c>
      <c r="B628" s="2" t="s">
        <v>1886</v>
      </c>
      <c r="C628" s="1" t="s">
        <v>7</v>
      </c>
      <c r="D628" s="1" t="s">
        <v>1887</v>
      </c>
      <c r="E628" s="3" t="str">
        <f>IFERROR(__xludf.DUMMYFUNCTION("GOOGLETRANSLATE(D628, ""en"", ""zh-tw"")"),"我們的辦公設備太老舊了。")</f>
        <v>我們的辦公設備太老舊了。</v>
      </c>
    </row>
    <row r="629">
      <c r="A629" s="1" t="s">
        <v>1888</v>
      </c>
      <c r="B629" s="2" t="s">
        <v>1889</v>
      </c>
      <c r="C629" s="1" t="s">
        <v>17</v>
      </c>
      <c r="D629" s="1" t="s">
        <v>1890</v>
      </c>
      <c r="E629" s="3" t="str">
        <f>IFERROR(__xludf.DUMMYFUNCTION("GOOGLETRANSLATE(D629, ""en"", ""zh-tw"")"),"放回形針的盒子在哪裡？")</f>
        <v>放回形針的盒子在哪裡？</v>
      </c>
    </row>
    <row r="630">
      <c r="A630" s="1" t="s">
        <v>1891</v>
      </c>
      <c r="B630" s="2" t="s">
        <v>1892</v>
      </c>
      <c r="C630" s="1" t="s">
        <v>7</v>
      </c>
      <c r="D630" s="1" t="s">
        <v>1893</v>
      </c>
      <c r="E630" s="3" t="str">
        <f>IFERROR(__xludf.DUMMYFUNCTION("GOOGLETRANSLATE(D630, ""en"", ""zh-tw"")"),"這裡沒人會做這麼複雜的維修。我們得僱個承包商。")</f>
        <v>這裡沒人會做這麼複雜的維修。我們得僱個承包商。</v>
      </c>
    </row>
    <row r="631">
      <c r="A631" s="1" t="s">
        <v>1894</v>
      </c>
      <c r="B631" s="2" t="s">
        <v>1895</v>
      </c>
      <c r="C631" s="1" t="s">
        <v>17</v>
      </c>
      <c r="D631" s="1" t="s">
        <v>1896</v>
      </c>
      <c r="E631" s="3" t="str">
        <f>IFERROR(__xludf.DUMMYFUNCTION("GOOGLETRANSLATE(D631, ""en"", ""zh-tw"")"),"在沒有鉛筆的辦公室裡，削鉛筆器就是個沒用的東西。")</f>
        <v>在沒有鉛筆的辦公室裡，削鉛筆器就是個沒用的東西。</v>
      </c>
    </row>
    <row r="632">
      <c r="A632" s="1" t="s">
        <v>1897</v>
      </c>
      <c r="B632" s="2" t="s">
        <v>1898</v>
      </c>
      <c r="C632" s="1" t="s">
        <v>7</v>
      </c>
      <c r="D632" s="1" t="s">
        <v>1899</v>
      </c>
      <c r="E632" s="3" t="str">
        <f>IFERROR(__xludf.DUMMYFUNCTION("GOOGLETRANSLATE(D632, ""en"", ""zh-tw"")"),"請查閱人員名錄，找出每位團隊成員的聯絡方式。")</f>
        <v>請查閱人員名錄，找出每位團隊成員的聯絡方式。</v>
      </c>
    </row>
    <row r="633">
      <c r="A633" s="1" t="s">
        <v>1900</v>
      </c>
      <c r="B633" s="2" t="s">
        <v>1901</v>
      </c>
      <c r="C633" s="1" t="s">
        <v>7</v>
      </c>
      <c r="D633" s="1" t="s">
        <v>1902</v>
      </c>
      <c r="E633" s="3" t="str">
        <f>IFERROR(__xludf.DUMMYFUNCTION("GOOGLETRANSLATE(D633, ""en"", ""zh-tw"")"),"我希望他們能訂購一些新的印刷設備。")</f>
        <v>我希望他們能訂購一些新的印刷設備。</v>
      </c>
    </row>
    <row r="634">
      <c r="A634" s="1" t="s">
        <v>1903</v>
      </c>
      <c r="B634" s="2" t="s">
        <v>1904</v>
      </c>
      <c r="C634" s="1" t="s">
        <v>7</v>
      </c>
      <c r="D634" s="1" t="s">
        <v>1905</v>
      </c>
      <c r="E634" s="3" t="str">
        <f>IFERROR(__xludf.DUMMYFUNCTION("GOOGLETRANSLATE(D634, ""en"", ""zh-tw"")"),"如果我們想大規模生產產品，就需要更大的廠房。")</f>
        <v>如果我們想大規模生產產品，就需要更大的廠房。</v>
      </c>
    </row>
    <row r="635">
      <c r="A635" s="1" t="s">
        <v>1906</v>
      </c>
      <c r="B635" s="2" t="s">
        <v>1907</v>
      </c>
      <c r="C635" s="1" t="s">
        <v>7</v>
      </c>
      <c r="D635" s="1" t="s">
        <v>1908</v>
      </c>
      <c r="E635" s="3" t="str">
        <f>IFERROR(__xludf.DUMMYFUNCTION("GOOGLETRANSLATE(D635, ""en"", ""zh-tw"")"),"我們需要維修人員來檢查廚房的漏水問題。")</f>
        <v>我們需要維修人員來檢查廚房的漏水問題。</v>
      </c>
    </row>
    <row r="636">
      <c r="A636" s="1" t="s">
        <v>1909</v>
      </c>
      <c r="B636" s="2" t="s">
        <v>1910</v>
      </c>
      <c r="C636" s="1" t="s">
        <v>7</v>
      </c>
      <c r="D636" s="1" t="s">
        <v>1911</v>
      </c>
      <c r="E636" s="3" t="str">
        <f>IFERROR(__xludf.DUMMYFUNCTION("GOOGLETRANSLATE(D636, ""en"", ""zh-tw"")"),"我們不被允許把公司財物帶回家，連鋼筆也不行。")</f>
        <v>我們不被允許把公司財物帶回家，連鋼筆也不行。</v>
      </c>
    </row>
    <row r="637">
      <c r="A637" s="1" t="s">
        <v>1912</v>
      </c>
      <c r="B637" s="2" t="s">
        <v>1913</v>
      </c>
      <c r="C637" s="1" t="s">
        <v>17</v>
      </c>
      <c r="D637" s="1" t="s">
        <v>1914</v>
      </c>
      <c r="E637" s="3" t="str">
        <f>IFERROR(__xludf.DUMMYFUNCTION("GOOGLETRANSLATE(D637, ""en"", ""zh-tw"")"),"你不能把掃描器搬進你的辦公室，它是共享資源！")</f>
        <v>你不能把掃描器搬進你的辦公室，它是共享資源！</v>
      </c>
    </row>
    <row r="638">
      <c r="A638" s="1" t="s">
        <v>1915</v>
      </c>
      <c r="B638" s="2" t="s">
        <v>1916</v>
      </c>
      <c r="C638" s="1" t="s">
        <v>17</v>
      </c>
      <c r="D638" s="1" t="s">
        <v>1917</v>
      </c>
      <c r="E638" s="3" t="str">
        <f>IFERROR(__xludf.DUMMYFUNCTION("GOOGLETRANSLATE(D638, ""en"", ""zh-tw"")"),"我們需要更新會計軟體。")</f>
        <v>我們需要更新會計軟體。</v>
      </c>
    </row>
    <row r="639">
      <c r="A639" s="1" t="s">
        <v>1918</v>
      </c>
      <c r="B639" s="2" t="s">
        <v>1919</v>
      </c>
      <c r="C639" s="1" t="s">
        <v>7</v>
      </c>
      <c r="D639" s="1" t="s">
        <v>1920</v>
      </c>
      <c r="E639" s="3" t="str">
        <f>IFERROR(__xludf.DUMMYFUNCTION("GOOGLETRANSLATE(D639, ""en"", ""zh-tw"")"),"在急需使用機器之前，你真的應該先熟悉一下它的功能。")</f>
        <v>在急需使用機器之前，你真的應該先熟悉一下它的功能。</v>
      </c>
    </row>
    <row r="640">
      <c r="A640" s="1" t="s">
        <v>1921</v>
      </c>
      <c r="B640" s="2" t="s">
        <v>1922</v>
      </c>
      <c r="C640" s="1" t="s">
        <v>17</v>
      </c>
      <c r="D640" s="1" t="s">
        <v>1923</v>
      </c>
      <c r="E640" s="3" t="str">
        <f>IFERROR(__xludf.DUMMYFUNCTION("GOOGLETRANSLATE(D640, ""en"", ""zh-tw"")"),"操作咖啡機時請務必隨時小心謹慎。")</f>
        <v>操作咖啡機時請務必隨時小心謹慎。</v>
      </c>
    </row>
    <row r="641">
      <c r="A641" s="1" t="s">
        <v>1924</v>
      </c>
      <c r="B641" s="2" t="s">
        <v>1925</v>
      </c>
      <c r="C641" s="1" t="s">
        <v>17</v>
      </c>
      <c r="D641" s="1" t="s">
        <v>1926</v>
      </c>
      <c r="E641" s="3" t="str">
        <f>IFERROR(__xludf.DUMMYFUNCTION("GOOGLETRANSLATE(D641, ""en"", ""zh-tw"")"),"你必須非常小心地安裝墨盒，否則會卡住。")</f>
        <v>你必須非常小心地安裝墨盒，否則會卡住。</v>
      </c>
    </row>
    <row r="642">
      <c r="A642" s="1" t="s">
        <v>1927</v>
      </c>
      <c r="B642" s="2" t="s">
        <v>1928</v>
      </c>
      <c r="C642" s="1" t="s">
        <v>17</v>
      </c>
      <c r="D642" s="1" t="s">
        <v>1929</v>
      </c>
      <c r="E642" s="3" t="str">
        <f>IFERROR(__xludf.DUMMYFUNCTION("GOOGLETRANSLATE(D642, ""en"", ""zh-tw"")"),"如果不按說明操作，可能會損壞東西。")</f>
        <v>如果不按說明操作，可能會損壞東西。</v>
      </c>
    </row>
    <row r="643">
      <c r="A643" s="1" t="s">
        <v>1930</v>
      </c>
      <c r="B643" s="2" t="s">
        <v>1931</v>
      </c>
      <c r="C643" s="1" t="s">
        <v>17</v>
      </c>
      <c r="D643" s="1" t="s">
        <v>1932</v>
      </c>
      <c r="E643" s="3" t="str">
        <f>IFERROR(__xludf.DUMMYFUNCTION("GOOGLETRANSLATE(D643, ""en"", ""zh-tw"")"),"如果你不去看說明書，你會發現它非常有用。")</f>
        <v>如果你不去看說明書，你會發現它非常有用。</v>
      </c>
    </row>
    <row r="644">
      <c r="A644" s="1" t="s">
        <v>1933</v>
      </c>
      <c r="B644" s="2" t="s">
        <v>1934</v>
      </c>
      <c r="C644" s="1" t="s">
        <v>7</v>
      </c>
      <c r="D644" s="1" t="s">
        <v>1935</v>
      </c>
      <c r="E644" s="3" t="str">
        <f>IFERROR(__xludf.DUMMYFUNCTION("GOOGLETRANSLATE(D644, ""en"", ""zh-tw"")"),"1. 包裝盒裡沒有使用手冊嗎？ 2. 這台機器可以手動操作。")</f>
        <v>1. 包裝盒裡沒有使用手冊嗎？ 2. 這台機器可以手動操作。</v>
      </c>
    </row>
    <row r="645">
      <c r="A645" s="1" t="s">
        <v>1936</v>
      </c>
      <c r="B645" s="2" t="s">
        <v>1937</v>
      </c>
      <c r="C645" s="1" t="s">
        <v>17</v>
      </c>
      <c r="D645" s="1" t="s">
        <v>1938</v>
      </c>
      <c r="E645" s="3" t="str">
        <f>IFERROR(__xludf.DUMMYFUNCTION("GOOGLETRANSLATE(D645, ""en"", ""zh-tw"")"),"說明書上說“拆解機器”，但沒有告訴我們具體該怎麼做！")</f>
        <v>說明書上說“拆解機器”，但沒有告訴我們具體該怎麼做！</v>
      </c>
    </row>
    <row r="646">
      <c r="A646" s="1" t="s">
        <v>1939</v>
      </c>
      <c r="B646" s="2" t="s">
        <v>1940</v>
      </c>
      <c r="C646" s="1" t="s">
        <v>7</v>
      </c>
      <c r="D646" s="1" t="s">
        <v>1941</v>
      </c>
      <c r="E646" s="3" t="str">
        <f>IFERROR(__xludf.DUMMYFUNCTION("GOOGLETRANSLATE(D646, ""en"", ""zh-tw"")"),"說明書圖示中有一個辦公書架結構，但我無法辨識。")</f>
        <v>說明書圖示中有一個辦公書架結構，但我無法辨識。</v>
      </c>
    </row>
    <row r="647">
      <c r="A647" s="1" t="s">
        <v>1942</v>
      </c>
      <c r="B647" s="2" t="s">
        <v>1943</v>
      </c>
      <c r="C647" s="1" t="s">
        <v>17</v>
      </c>
      <c r="D647" s="1" t="s">
        <v>1944</v>
      </c>
      <c r="E647" s="3" t="str">
        <f>IFERROR(__xludf.DUMMYFUNCTION("GOOGLETRANSLATE(D647, ""en"", ""zh-tw"")"),"多名員工抱怨說，即使他們完成了客戶資料輸入，系統也沒有保存資料。")</f>
        <v>多名員工抱怨說，即使他們完成了客戶資料輸入，系統也沒有保存資料。</v>
      </c>
    </row>
    <row r="648">
      <c r="A648" s="1" t="s">
        <v>1945</v>
      </c>
      <c r="B648" s="2" t="s">
        <v>1946</v>
      </c>
      <c r="C648" s="1" t="s">
        <v>17</v>
      </c>
      <c r="D648" s="1" t="s">
        <v>1947</v>
      </c>
      <c r="E648" s="3" t="str">
        <f>IFERROR(__xludf.DUMMYFUNCTION("GOOGLETRANSLATE(D648, ""en"", ""zh-tw"")"),"客戶們在剩餘的空白處填寫了自己的電子郵件地址。")</f>
        <v>客戶們在剩餘的空白處填寫了自己的電子郵件地址。</v>
      </c>
    </row>
    <row r="649">
      <c r="A649" s="1" t="s">
        <v>1948</v>
      </c>
      <c r="B649" s="2" t="s">
        <v>1949</v>
      </c>
      <c r="C649" s="1" t="s">
        <v>17</v>
      </c>
      <c r="D649" s="1" t="s">
        <v>1950</v>
      </c>
      <c r="E649" s="3" t="str">
        <f>IFERROR(__xludf.DUMMYFUNCTION("GOOGLETRANSLATE(D649, ""en"", ""zh-tw"")"),"資料輸入表不應超過10項。")</f>
        <v>資料輸入表不應超過10項。</v>
      </c>
    </row>
    <row r="650">
      <c r="A650" s="1" t="s">
        <v>1951</v>
      </c>
      <c r="B650" s="2" t="s">
        <v>1952</v>
      </c>
      <c r="C650" s="1" t="s">
        <v>7</v>
      </c>
      <c r="D650" s="1" t="s">
        <v>1953</v>
      </c>
      <c r="E650" s="3" t="str">
        <f>IFERROR(__xludf.DUMMYFUNCTION("GOOGLETRANSLATE(D650, ""en"", ""zh-tw"")"),"每份表格必須留出三個簽名空間。")</f>
        <v>每份表格必須留出三個簽名空間。</v>
      </c>
    </row>
    <row r="651">
      <c r="A651" s="1" t="s">
        <v>1954</v>
      </c>
      <c r="B651" s="2" t="s">
        <v>1955</v>
      </c>
      <c r="C651" s="1" t="s">
        <v>7</v>
      </c>
      <c r="D651" s="1" t="s">
        <v>1956</v>
      </c>
      <c r="E651" s="3" t="str">
        <f>IFERROR(__xludf.DUMMYFUNCTION("GOOGLETRANSLATE(D651, ""en"", ""zh-tw"")"),"建立新的費用報告時，請務必使用已核准的範本。")</f>
        <v>建立新的費用報告時，請務必使用已核准的範本。</v>
      </c>
    </row>
    <row r="652">
      <c r="A652" s="1" t="s">
        <v>1957</v>
      </c>
      <c r="B652" s="2" t="s">
        <v>1958</v>
      </c>
      <c r="C652" s="1" t="s">
        <v>7</v>
      </c>
      <c r="D652" s="1" t="s">
        <v>1959</v>
      </c>
      <c r="E652" s="3" t="str">
        <f>IFERROR(__xludf.DUMMYFUNCTION("GOOGLETRANSLATE(D652, ""en"", ""zh-tw"")"),"1. 您的貸款申請獲批前，需要提供資產證明。 2. 您是否同意此方案？")</f>
        <v>1. 您的貸款申請獲批前，需要提供資產證明。 2. 您是否同意此方案？</v>
      </c>
    </row>
    <row r="653">
      <c r="A653" s="1" t="s">
        <v>1960</v>
      </c>
      <c r="B653" s="2" t="s">
        <v>1961</v>
      </c>
      <c r="C653" s="1" t="s">
        <v>7</v>
      </c>
      <c r="D653" s="1" t="s">
        <v>1962</v>
      </c>
      <c r="E653" s="3" t="str">
        <f>IFERROR(__xludf.DUMMYFUNCTION("GOOGLETRANSLATE(D653, ""en"", ""zh-tw"")"),"截止日期是1月20日，所以請確保在1月19日之前完成報告。")</f>
        <v>截止日期是1月20日，所以請確保在1月19日之前完成報告。</v>
      </c>
    </row>
    <row r="654">
      <c r="A654" s="1" t="s">
        <v>1963</v>
      </c>
      <c r="B654" s="2" t="s">
        <v>1964</v>
      </c>
      <c r="C654" s="1" t="s">
        <v>17</v>
      </c>
      <c r="D654" s="1" t="s">
        <v>1965</v>
      </c>
      <c r="E654" s="3" t="str">
        <f>IFERROR(__xludf.DUMMYFUNCTION("GOOGLETRANSLATE(D654, ""en"", ""zh-tw"")"),"申請被拒的最常見原因是表格填寫不正確。")</f>
        <v>申請被拒的最常見原因是表格填寫不正確。</v>
      </c>
    </row>
    <row r="655">
      <c r="A655" s="1" t="s">
        <v>1966</v>
      </c>
      <c r="B655" s="2" t="s">
        <v>1967</v>
      </c>
      <c r="C655" s="1" t="s">
        <v>17</v>
      </c>
      <c r="D655" s="1" t="s">
        <v>1968</v>
      </c>
      <c r="E655" s="3" t="str">
        <f>IFERROR(__xludf.DUMMYFUNCTION("GOOGLETRANSLATE(D655, ""en"", ""zh-tw"")"),"加快這個過程必然會犧牲品質。")</f>
        <v>加快這個過程必然會犧牲品質。</v>
      </c>
    </row>
    <row r="656">
      <c r="A656" s="1" t="s">
        <v>1969</v>
      </c>
      <c r="B656" s="2" t="s">
        <v>1970</v>
      </c>
      <c r="C656" s="1" t="s">
        <v>17</v>
      </c>
      <c r="D656" s="1" t="s">
        <v>1971</v>
      </c>
      <c r="E656" s="3" t="str">
        <f>IFERROR(__xludf.DUMMYFUNCTION("GOOGLETRANSLATE(D656, ""en"", ""zh-tw"")"),"共有十五名候選人申請助理經理職位。")</f>
        <v>共有十五名候選人申請助理經理職位。</v>
      </c>
    </row>
    <row r="657">
      <c r="A657" s="1" t="s">
        <v>1972</v>
      </c>
      <c r="B657" s="2" t="s">
        <v>1973</v>
      </c>
      <c r="C657" s="1" t="s">
        <v>7</v>
      </c>
      <c r="D657" s="1" t="s">
        <v>1974</v>
      </c>
      <c r="E657" s="3" t="str">
        <f>IFERROR(__xludf.DUMMYFUNCTION("GOOGLETRANSLATE(D657, ""en"", ""zh-tw"")"),"1. 沒有附錄的使用手冊不夠使用者友善。 2. 他做了闌尾切除手術。")</f>
        <v>1. 沒有附錄的使用手冊不夠使用者友善。 2. 他做了闌尾切除手術。</v>
      </c>
    </row>
    <row r="658">
      <c r="A658" s="1" t="s">
        <v>1975</v>
      </c>
      <c r="B658" s="2" t="s">
        <v>1976</v>
      </c>
      <c r="C658" s="1" t="s">
        <v>7</v>
      </c>
      <c r="D658" s="1" t="s">
        <v>1977</v>
      </c>
      <c r="E658" s="3" t="str">
        <f>IFERROR(__xludf.DUMMYFUNCTION("GOOGLETRANSLATE(D658, ""en"", ""zh-tw"")"),"請整理一份不活躍客戶的名單，包括他們的家庭住址和電話號碼。")</f>
        <v>請整理一份不活躍客戶的名單，包括他們的家庭住址和電話號碼。</v>
      </c>
    </row>
    <row r="659">
      <c r="A659" s="1" t="s">
        <v>1978</v>
      </c>
      <c r="B659" s="2" t="s">
        <v>1979</v>
      </c>
      <c r="C659" s="1" t="s">
        <v>17</v>
      </c>
      <c r="D659" s="1" t="s">
        <v>1980</v>
      </c>
      <c r="E659" s="3" t="str">
        <f>IFERROR(__xludf.DUMMYFUNCTION("GOOGLETRANSLATE(D659, ""en"", ""zh-tw"")"),"將頁面分成三欄，以便於閱讀。")</f>
        <v>將頁面分成三欄，以便於閱讀。</v>
      </c>
    </row>
    <row r="660">
      <c r="A660" s="1" t="s">
        <v>1981</v>
      </c>
      <c r="B660" s="2" t="s">
        <v>1982</v>
      </c>
      <c r="C660" s="1" t="s">
        <v>7</v>
      </c>
      <c r="D660" s="1" t="s">
        <v>1983</v>
      </c>
      <c r="E660" s="3" t="str">
        <f>IFERROR(__xludf.DUMMYFUNCTION("GOOGLETRANSLATE(D660, ""en"", ""zh-tw"")"),"醫生發現血液檢查結果異常。")</f>
        <v>醫生發現血液檢查結果異常。</v>
      </c>
    </row>
    <row r="661">
      <c r="A661" s="1" t="s">
        <v>1984</v>
      </c>
      <c r="B661" s="2" t="s">
        <v>1985</v>
      </c>
      <c r="C661" s="1" t="s">
        <v>7</v>
      </c>
      <c r="D661" s="1" t="s">
        <v>1986</v>
      </c>
      <c r="E661" s="3" t="str">
        <f>IFERROR(__xludf.DUMMYFUNCTION("GOOGLETRANSLATE(D661, ""en"", ""zh-tw"")"),"由於天氣惡劣，飛行員決定取消飛行。")</f>
        <v>由於天氣惡劣，飛行員決定取消飛行。</v>
      </c>
    </row>
    <row r="662">
      <c r="A662" s="1" t="s">
        <v>1987</v>
      </c>
      <c r="B662" s="2" t="s">
        <v>1988</v>
      </c>
      <c r="C662" s="1" t="s">
        <v>17</v>
      </c>
      <c r="D662" s="1" t="s">
        <v>1989</v>
      </c>
      <c r="E662" s="3" t="str">
        <f>IFERROR(__xludf.DUMMYFUNCTION("GOOGLETRANSLATE(D662, ""en"", ""zh-tw"")"),"檸檬汁含有天然酸。")</f>
        <v>檸檬汁含有天然酸。</v>
      </c>
    </row>
    <row r="663">
      <c r="A663" s="1" t="s">
        <v>1990</v>
      </c>
      <c r="B663" s="2" t="s">
        <v>1991</v>
      </c>
      <c r="C663" s="1" t="s">
        <v>17</v>
      </c>
      <c r="D663" s="1" t="s">
        <v>1992</v>
      </c>
      <c r="E663" s="3" t="str">
        <f>IFERROR(__xludf.DUMMYFUNCTION("GOOGLETRANSLATE(D663, ""en"", ""zh-tw"")"),"她積極參與學校活動。")</f>
        <v>她積極參與學校活動。</v>
      </c>
    </row>
    <row r="664">
      <c r="A664" s="1" t="s">
        <v>1993</v>
      </c>
      <c r="B664" s="2" t="s">
        <v>1994</v>
      </c>
      <c r="C664" s="1" t="s">
        <v>17</v>
      </c>
      <c r="D664" s="1" t="s">
        <v>1995</v>
      </c>
      <c r="E664" s="3" t="str">
        <f>IFERROR(__xludf.DUMMYFUNCTION("GOOGLETRANSLATE(D664, ""en"", ""zh-tw"")"),"請在咖啡裡加點糖。")</f>
        <v>請在咖啡裡加點糖。</v>
      </c>
    </row>
    <row r="665">
      <c r="A665" s="1" t="s">
        <v>1996</v>
      </c>
      <c r="B665" s="2" t="s">
        <v>1997</v>
      </c>
      <c r="C665" s="1" t="s">
        <v>7</v>
      </c>
      <c r="D665" s="1" t="s">
        <v>1998</v>
      </c>
      <c r="E665" s="3" t="str">
        <f>IFERROR(__xludf.DUMMYFUNCTION("GOOGLETRANSLATE(D665, ""en"", ""zh-tw"")"),"請將椅子調整到舒適的高度。")</f>
        <v>請將椅子調整到舒適的高度。</v>
      </c>
    </row>
    <row r="666">
      <c r="A666" s="1" t="s">
        <v>1999</v>
      </c>
      <c r="B666" s="2" t="s">
        <v>2000</v>
      </c>
      <c r="C666" s="1" t="s">
        <v>279</v>
      </c>
      <c r="D666" s="1" t="s">
        <v>2001</v>
      </c>
      <c r="E666" s="3" t="str">
        <f>IFERROR(__xludf.DUMMYFUNCTION("GOOGLETRANSLATE(D666, ""en"", ""zh-tw"")"),"工作人員必須先經過風淋室才能進入無塵室。")</f>
        <v>工作人員必須先經過風淋室才能進入無塵室。</v>
      </c>
    </row>
    <row r="667">
      <c r="A667" s="1" t="s">
        <v>2002</v>
      </c>
      <c r="B667" s="2" t="s">
        <v>2003</v>
      </c>
      <c r="C667" s="1" t="s">
        <v>7</v>
      </c>
      <c r="D667" s="1" t="s">
        <v>2004</v>
      </c>
      <c r="E667" s="3" t="str">
        <f>IFERROR(__xludf.DUMMYFUNCTION("GOOGLETRANSLATE(D667, ""en"", ""zh-tw"")"),"會議期間，火警警報聲突然響起。")</f>
        <v>會議期間，火警警報聲突然響起。</v>
      </c>
    </row>
    <row r="668">
      <c r="A668" s="1" t="s">
        <v>2005</v>
      </c>
      <c r="B668" s="2" t="s">
        <v>2003</v>
      </c>
      <c r="C668" s="1" t="s">
        <v>7</v>
      </c>
      <c r="D668" s="1" t="s">
        <v>2006</v>
      </c>
      <c r="E668" s="3" t="str">
        <f>IFERROR(__xludf.DUMMYFUNCTION("GOOGLETRANSLATE(D668, ""en"", ""zh-tw"")"),"今天早上氣象部門發布了洪水警報。")</f>
        <v>今天早上氣象部門發布了洪水警報。</v>
      </c>
    </row>
    <row r="669">
      <c r="A669" s="1" t="s">
        <v>2007</v>
      </c>
      <c r="B669" s="2" t="s">
        <v>2008</v>
      </c>
      <c r="C669" s="1" t="s">
        <v>7</v>
      </c>
      <c r="D669" s="1" t="s">
        <v>2009</v>
      </c>
      <c r="E669" s="3" t="str">
        <f>IFERROR(__xludf.DUMMYFUNCTION("GOOGLETRANSLATE(D669, ""en"", ""zh-tw"")"),"請將盒子整齊地擺放在架子上。")</f>
        <v>請將盒子整齊地擺放在架子上。</v>
      </c>
    </row>
    <row r="670">
      <c r="A670" s="1" t="s">
        <v>2010</v>
      </c>
      <c r="B670" s="2" t="s">
        <v>2011</v>
      </c>
      <c r="C670" s="1" t="s">
        <v>7</v>
      </c>
      <c r="D670" s="1" t="s">
        <v>2012</v>
      </c>
      <c r="E670" s="3" t="str">
        <f>IFERROR(__xludf.DUMMYFUNCTION("GOOGLETRANSLATE(D670, ""en"", ""zh-tw"")"),"公司每年召開一次會議。")</f>
        <v>公司每年召開一次會議。</v>
      </c>
    </row>
    <row r="671">
      <c r="A671" s="1" t="s">
        <v>2013</v>
      </c>
      <c r="B671" s="2" t="s">
        <v>1754</v>
      </c>
      <c r="C671" s="1" t="s">
        <v>17</v>
      </c>
      <c r="D671" s="1" t="s">
        <v>2014</v>
      </c>
      <c r="E671" s="3" t="str">
        <f>IFERROR(__xludf.DUMMYFUNCTION("GOOGLETRANSLATE(D671, ""en"", ""zh-tw"")"),"此區域僅限員工使用。")</f>
        <v>此區域僅限員工使用。</v>
      </c>
    </row>
    <row r="672">
      <c r="A672" s="1" t="s">
        <v>2015</v>
      </c>
      <c r="B672" s="2" t="s">
        <v>2016</v>
      </c>
      <c r="C672" s="1" t="s">
        <v>17</v>
      </c>
      <c r="D672" s="1" t="s">
        <v>2017</v>
      </c>
      <c r="E672" s="3" t="str">
        <f>IFERROR(__xludf.DUMMYFUNCTION("GOOGLETRANSLATE(D672, ""en"", ""zh-tw"")"),"請將文件作為附件新增至您的電子郵件。")</f>
        <v>請將文件作為附件新增至您的電子郵件。</v>
      </c>
    </row>
    <row r="673">
      <c r="A673" s="1" t="s">
        <v>2018</v>
      </c>
      <c r="B673" s="2" t="s">
        <v>2019</v>
      </c>
      <c r="C673" s="1" t="s">
        <v>7</v>
      </c>
      <c r="D673" s="1" t="s">
        <v>2020</v>
      </c>
      <c r="E673" s="3" t="str">
        <f>IFERROR(__xludf.DUMMYFUNCTION("GOOGLETRANSLATE(D673, ""en"", ""zh-tw"")"),"有人靠近時，門會自動打開。")</f>
        <v>有人靠近時，門會自動打開。</v>
      </c>
    </row>
    <row r="674">
      <c r="A674" s="1" t="s">
        <v>2021</v>
      </c>
      <c r="B674" s="2" t="s">
        <v>2022</v>
      </c>
      <c r="C674" s="1" t="s">
        <v>7</v>
      </c>
      <c r="D674" s="1" t="s">
        <v>2023</v>
      </c>
      <c r="E674" s="3" t="str">
        <f>IFERROR(__xludf.DUMMYFUNCTION("GOOGLETRANSLATE(D674, ""en"", ""zh-tw"")"),"他在汽車業工作。")</f>
        <v>他在汽車業工作。</v>
      </c>
    </row>
    <row r="675">
      <c r="A675" s="1" t="s">
        <v>2024</v>
      </c>
      <c r="B675" s="2" t="s">
        <v>2025</v>
      </c>
      <c r="C675" s="1" t="s">
        <v>7</v>
      </c>
      <c r="D675" s="1" t="s">
        <v>2026</v>
      </c>
      <c r="E675" s="3" t="str">
        <f>IFERROR(__xludf.DUMMYFUNCTION("GOOGLETRANSLATE(D675, ""en"", ""zh-tw"")"),"1. 這間會議室今天下午有空嗎？ 2. 這些產品可以在網路上購買。 3. 經理現在不在。")</f>
        <v>1. 這間會議室今天下午有空嗎？ 2. 這些產品可以在網路上購買。 3. 經理現在不在。</v>
      </c>
    </row>
    <row r="676">
      <c r="A676" s="1" t="s">
        <v>2027</v>
      </c>
      <c r="B676" s="2" t="s">
        <v>2028</v>
      </c>
      <c r="C676" s="1" t="s">
        <v>7</v>
      </c>
      <c r="D676" s="1" t="s">
        <v>2029</v>
      </c>
      <c r="E676" s="3" t="str">
        <f>IFERROR(__xludf.DUMMYFUNCTION("GOOGLETRANSLATE(D676, ""en"", ""zh-tw"")"),"1. 務必備份重要文件。 2. 我已經備份了我的文件。 3. 我們需要一個備用方案以防萬一。")</f>
        <v>1. 務必備份重要文件。 2. 我已經備份了我的文件。 3. 我們需要一個備用方案以防萬一。</v>
      </c>
    </row>
    <row r="677">
      <c r="A677" s="1" t="s">
        <v>2030</v>
      </c>
      <c r="B677" s="2" t="s">
        <v>2031</v>
      </c>
      <c r="C677" s="1" t="s">
        <v>17</v>
      </c>
      <c r="D677" s="1" t="s">
        <v>2032</v>
      </c>
      <c r="E677" s="3" t="str">
        <f>IFERROR(__xludf.DUMMYFUNCTION("GOOGLETRANSLATE(D677, ""en"", ""zh-tw"")"),"1. 我去銀行存了些錢。 2. 她每個月都把薪水存到銀行。")</f>
        <v>1. 我去銀行存了些錢。 2. 她每個月都把薪水存到銀行。</v>
      </c>
    </row>
    <row r="678">
      <c r="A678" s="1" t="s">
        <v>2033</v>
      </c>
      <c r="B678" s="2" t="s">
        <v>2034</v>
      </c>
      <c r="C678" s="1" t="s">
        <v>17</v>
      </c>
      <c r="D678" s="1" t="s">
        <v>2035</v>
      </c>
      <c r="E678" s="3" t="str">
        <f>IFERROR(__xludf.DUMMYFUNCTION("GOOGLETRANSLATE(D678, ""en"", ""zh-tw"")"),"一束光線透過窗戶射了進來。")</f>
        <v>一束光線透過窗戶射了進來。</v>
      </c>
    </row>
    <row r="679">
      <c r="A679" s="1" t="s">
        <v>2036</v>
      </c>
      <c r="B679" s="2" t="s">
        <v>2037</v>
      </c>
      <c r="C679" s="1" t="s">
        <v>279</v>
      </c>
      <c r="D679" s="1" t="s">
        <v>2038</v>
      </c>
      <c r="E679" s="3" t="str">
        <f>IFERROR(__xludf.DUMMYFUNCTION("GOOGLETRANSLATE(D679, ""en"", ""zh-tw"")"),"該產品為業界樹立了新的標竿。")</f>
        <v>該產品為業界樹立了新的標竿。</v>
      </c>
    </row>
    <row r="680">
      <c r="A680" s="1" t="s">
        <v>2039</v>
      </c>
      <c r="B680" s="2" t="s">
        <v>2040</v>
      </c>
      <c r="C680" s="1" t="s">
        <v>17</v>
      </c>
      <c r="D680" s="1" t="s">
        <v>2041</v>
      </c>
      <c r="E680" s="3" t="str">
        <f>IFERROR(__xludf.DUMMYFUNCTION("GOOGLETRANSLATE(D680, ""en"", ""zh-tw"")"),"請每天喝一瓶水。")</f>
        <v>請每天喝一瓶水。</v>
      </c>
    </row>
    <row r="681">
      <c r="A681" s="1" t="s">
        <v>2042</v>
      </c>
      <c r="B681" s="2" t="s">
        <v>2043</v>
      </c>
      <c r="C681" s="1" t="s">
        <v>17</v>
      </c>
      <c r="D681" s="1" t="s">
        <v>2044</v>
      </c>
      <c r="E681" s="3" t="str">
        <f>IFERROR(__xludf.DUMMYFUNCTION("GOOGLETRANSLATE(D681, ""en"", ""zh-tw"")"),"鑰匙在包包的最底部。")</f>
        <v>鑰匙在包包的最底部。</v>
      </c>
    </row>
    <row r="682">
      <c r="A682" s="1" t="s">
        <v>2045</v>
      </c>
      <c r="B682" s="2" t="s">
        <v>2046</v>
      </c>
      <c r="C682" s="1" t="s">
        <v>17</v>
      </c>
      <c r="D682" s="1" t="s">
        <v>2047</v>
      </c>
      <c r="E682" s="3" t="str">
        <f>IFERROR(__xludf.DUMMYFUNCTION("GOOGLETRANSLATE(D682, ""en"", ""zh-tw"")"),"我的手機壞了，所以用不了。")</f>
        <v>我的手機壞了，所以用不了。</v>
      </c>
    </row>
    <row r="683">
      <c r="A683" s="1" t="s">
        <v>2048</v>
      </c>
      <c r="B683" s="2" t="s">
        <v>2049</v>
      </c>
      <c r="C683" s="1" t="s">
        <v>17</v>
      </c>
      <c r="D683" s="1" t="s">
        <v>2050</v>
      </c>
      <c r="E683" s="3" t="str">
        <f>IFERROR(__xludf.DUMMYFUNCTION("GOOGLETRANSLATE(D683, ""en"", ""zh-tw"")"),"由於暴雨，會議取消了。")</f>
        <v>由於暴雨，會議取消了。</v>
      </c>
    </row>
    <row r="684">
      <c r="A684" s="1" t="s">
        <v>2051</v>
      </c>
      <c r="B684" s="2" t="s">
        <v>2052</v>
      </c>
      <c r="C684" s="1" t="s">
        <v>17</v>
      </c>
      <c r="D684" s="1" t="s">
        <v>2053</v>
      </c>
      <c r="E684" s="3" t="str">
        <f>IFERROR(__xludf.DUMMYFUNCTION("GOOGLETRANSLATE(D684, ""en"", ""zh-tw"")"),"我用信用卡支付了餐費。")</f>
        <v>我用信用卡支付了餐費。</v>
      </c>
    </row>
    <row r="685">
      <c r="A685" s="1" t="s">
        <v>2054</v>
      </c>
      <c r="B685" s="2" t="s">
        <v>2055</v>
      </c>
      <c r="C685" s="1" t="s">
        <v>7</v>
      </c>
      <c r="D685" s="1" t="s">
        <v>2056</v>
      </c>
      <c r="E685" s="3" t="str">
        <f>IFERROR(__xludf.DUMMYFUNCTION("GOOGLETRANSLATE(D685, ""en"", ""zh-tw"")"),"晶圓存放在晶圓盒中，以避免污染。")</f>
        <v>晶圓存放在晶圓盒中，以避免污染。</v>
      </c>
    </row>
    <row r="686">
      <c r="A686" s="1" t="s">
        <v>2057</v>
      </c>
      <c r="B686" s="2" t="s">
        <v>2058</v>
      </c>
      <c r="C686" s="1" t="s">
        <v>17</v>
      </c>
      <c r="D686" s="1" t="s">
        <v>2059</v>
      </c>
      <c r="E686" s="3" t="str">
        <f>IFERROR(__xludf.DUMMYFUNCTION("GOOGLETRANSLATE(D686, ""en"", ""zh-tw"")"),"會議在市中心舉行。")</f>
        <v>會議在市中心舉行。</v>
      </c>
    </row>
    <row r="687">
      <c r="A687" s="1" t="s">
        <v>2060</v>
      </c>
      <c r="B687" s="2" t="s">
        <v>2061</v>
      </c>
      <c r="C687" s="1" t="s">
        <v>7</v>
      </c>
      <c r="D687" s="1" t="s">
        <v>2062</v>
      </c>
      <c r="E687" s="3" t="str">
        <f>IFERROR(__xludf.DUMMYFUNCTION("GOOGLETRANSLATE(D687, ""en"", ""zh-tw"")"),"工程師確認該機器使用安全。")</f>
        <v>工程師確認該機器使用安全。</v>
      </c>
    </row>
    <row r="688">
      <c r="A688" s="1" t="s">
        <v>2063</v>
      </c>
      <c r="B688" s="2" t="s">
        <v>2064</v>
      </c>
      <c r="C688" s="1" t="s">
        <v>17</v>
      </c>
      <c r="D688" s="1" t="s">
        <v>2065</v>
      </c>
      <c r="E688" s="3" t="str">
        <f>IFERROR(__xludf.DUMMYFUNCTION("GOOGLETRANSLATE(D688, ""en"", ""zh-tw"")"),"我明年想換工作。")</f>
        <v>我明年想換工作。</v>
      </c>
    </row>
    <row r="689">
      <c r="A689" s="1" t="s">
        <v>2066</v>
      </c>
      <c r="B689" s="2" t="s">
        <v>2067</v>
      </c>
      <c r="C689" s="1" t="s">
        <v>17</v>
      </c>
      <c r="D689" s="1" t="s">
        <v>2068</v>
      </c>
      <c r="E689" s="3" t="str">
        <f>IFERROR(__xludf.DUMMYFUNCTION("GOOGLETRANSLATE(D689, ""en"", ""zh-tw"")"),"銷售圖表顯示銷售額穩定成長。")</f>
        <v>銷售圖表顯示銷售額穩定成長。</v>
      </c>
    </row>
    <row r="690">
      <c r="A690" s="5" t="s">
        <v>2069</v>
      </c>
      <c r="B690" s="6" t="s">
        <v>2070</v>
      </c>
      <c r="C690" s="5" t="s">
        <v>17</v>
      </c>
      <c r="D690" s="5" t="s">
        <v>2071</v>
      </c>
      <c r="E690" s="3" t="str">
        <f>IFERROR(__xludf.DUMMYFUNCTION("GOOGLETRANSLATE(D690, ""en"", ""zh-tw"")"),"我被這突如其來的消息震驚了。")</f>
        <v>我被這突如其來的消息震驚了。</v>
      </c>
    </row>
    <row r="691">
      <c r="A691" s="5" t="s">
        <v>2072</v>
      </c>
      <c r="B691" s="6" t="s">
        <v>2073</v>
      </c>
      <c r="C691" s="5" t="s">
        <v>17</v>
      </c>
      <c r="D691" s="5" t="s">
        <v>2074</v>
      </c>
      <c r="E691" s="3" t="str">
        <f>IFERROR(__xludf.DUMMYFUNCTION("GOOGLETRANSLATE(D691, ""en"", ""zh-tw"")"),"最後結果令在場的所有人都震驚了。")</f>
        <v>最後結果令在場的所有人都震驚了。</v>
      </c>
    </row>
    <row r="692">
      <c r="A692" s="5" t="s">
        <v>2075</v>
      </c>
      <c r="B692" s="6" t="s">
        <v>2076</v>
      </c>
      <c r="C692" s="5" t="s">
        <v>7</v>
      </c>
      <c r="D692" s="5" t="s">
        <v>2077</v>
      </c>
      <c r="E692" s="3" t="str">
        <f>IFERROR(__xludf.DUMMYFUNCTION("GOOGLETRANSLATE(D692, ""en"", ""zh-tw"")"),"1. 她努力克服了公開演講的恐懼。 2. 聽到這個好消息後，他激動不已。")</f>
        <v>1. 她努力克服了公開演講的恐懼。 2. 聽到這個好消息後，他激動不已。</v>
      </c>
    </row>
    <row r="693">
      <c r="A693" s="5" t="s">
        <v>2078</v>
      </c>
      <c r="B693" s="6" t="s">
        <v>2079</v>
      </c>
      <c r="C693" s="5" t="s">
        <v>7</v>
      </c>
      <c r="D693" s="5" t="s">
        <v>2080</v>
      </c>
      <c r="E693" s="3" t="str">
        <f>IFERROR(__xludf.DUMMYFUNCTION("GOOGLETRANSLATE(D693, ""en"", ""zh-tw"")"),"她在採訪過程中始終保持鎮定。")</f>
        <v>她在採訪過程中始終保持鎮定。</v>
      </c>
    </row>
    <row r="694">
      <c r="A694" s="5" t="s">
        <v>2081</v>
      </c>
      <c r="B694" s="6" t="s">
        <v>2082</v>
      </c>
      <c r="C694" s="5" t="s">
        <v>7</v>
      </c>
      <c r="D694" s="5" t="s">
        <v>2083</v>
      </c>
      <c r="E694" s="3" t="str">
        <f>IFERROR(__xludf.DUMMYFUNCTION("GOOGLETRANSLATE(D694, ""en"", ""zh-tw"")"),"1. 水由氫和氧組成。 2. 莫札特創作了許多著名的音樂作品。")</f>
        <v>1. 水由氫和氧組成。 2. 莫札特創作了許多著名的音樂作品。</v>
      </c>
    </row>
    <row r="695">
      <c r="A695" s="5" t="s">
        <v>2084</v>
      </c>
      <c r="B695" s="6" t="s">
        <v>2085</v>
      </c>
      <c r="C695" s="5" t="s">
        <v>279</v>
      </c>
      <c r="D695" s="5" t="s">
        <v>2086</v>
      </c>
      <c r="E695" s="3" t="str">
        <f>IFERROR(__xludf.DUMMYFUNCTION("GOOGLETRANSLATE(D695, ""en"", ""zh-tw"")"),"良好的團隊合作需要耐心和包容。")</f>
        <v>良好的團隊合作需要耐心和包容。</v>
      </c>
    </row>
    <row r="696">
      <c r="A696" s="5" t="s">
        <v>2087</v>
      </c>
      <c r="B696" s="6" t="s">
        <v>2088</v>
      </c>
      <c r="C696" s="5" t="s">
        <v>279</v>
      </c>
      <c r="D696" s="5" t="s">
        <v>2089</v>
      </c>
      <c r="E696" s="3" t="str">
        <f>IFERROR(__xludf.DUMMYFUNCTION("GOOGLETRANSLATE(D696, ""en"", ""zh-tw"")"),"我學習時無法忍受噪音。")</f>
        <v>我學習時無法忍受噪音。</v>
      </c>
    </row>
    <row r="697">
      <c r="A697" s="5" t="s">
        <v>2090</v>
      </c>
      <c r="B697" s="6" t="s">
        <v>2091</v>
      </c>
      <c r="C697" s="5" t="s">
        <v>7</v>
      </c>
      <c r="D697" s="5" t="s">
        <v>2092</v>
      </c>
      <c r="E697" s="3" t="str">
        <f>IFERROR(__xludf.DUMMYFUNCTION("GOOGLETRANSLATE(D697, ""en"", ""zh-tw"")"),"1. 票價貴得離譜。 2. 法庭宣布該罪犯精神失常。")</f>
        <v>1. 票價貴得離譜。 2. 法庭宣布該罪犯精神失常。</v>
      </c>
    </row>
    <row r="698">
      <c r="A698" s="5" t="s">
        <v>2093</v>
      </c>
      <c r="B698" s="6" t="s">
        <v>2094</v>
      </c>
      <c r="C698" s="5" t="s">
        <v>7</v>
      </c>
      <c r="D698" s="5" t="s">
        <v>2095</v>
      </c>
      <c r="E698" s="3" t="str">
        <f>IFERROR(__xludf.DUMMYFUNCTION("GOOGLETRANSLATE(D698, ""en"", ""zh-tw"")"),"她鋼琴彈得非常好。")</f>
        <v>她鋼琴彈得非常好。</v>
      </c>
    </row>
    <row r="699">
      <c r="A699" s="5" t="s">
        <v>2096</v>
      </c>
      <c r="B699" s="6" t="s">
        <v>2097</v>
      </c>
      <c r="C699" s="5" t="s">
        <v>7</v>
      </c>
      <c r="D699" s="5" t="s">
        <v>2098</v>
      </c>
      <c r="E699" s="3" t="str">
        <f>IFERROR(__xludf.DUMMYFUNCTION("GOOGLETRANSLATE(D699, ""en"", ""zh-tw"")"),"1. 他原本是技術員，後來升任經理。 2. 我們一大早就出發，以避開交通擁擠。")</f>
        <v>1. 他原本是技術員，後來升任經理。 2. 我們一大早就出發，以避開交通擁擠。</v>
      </c>
    </row>
    <row r="700">
      <c r="A700" s="5" t="s">
        <v>2099</v>
      </c>
      <c r="B700" s="6" t="s">
        <v>2100</v>
      </c>
      <c r="C700" s="5" t="s">
        <v>17</v>
      </c>
      <c r="D700" s="5" t="s">
        <v>2101</v>
      </c>
      <c r="E700" s="3" t="str">
        <f>IFERROR(__xludf.DUMMYFUNCTION("GOOGLETRANSLATE(D700, ""en"", ""zh-tw"")"),"今天學生們在課堂上進行了一次限時測驗。")</f>
        <v>今天學生們在課堂上進行了一次限時測驗。</v>
      </c>
    </row>
    <row r="701">
      <c r="A701" s="5" t="s">
        <v>2102</v>
      </c>
      <c r="B701" s="6" t="s">
        <v>2103</v>
      </c>
      <c r="C701" s="5" t="s">
        <v>17</v>
      </c>
      <c r="D701" s="5" t="s">
        <v>2104</v>
      </c>
      <c r="E701" s="3" t="str">
        <f>IFERROR(__xludf.DUMMYFUNCTION("GOOGLETRANSLATE(D701, ""en"", ""zh-tw"")"),"1. 她計時記錄了完成這項任務所需的時間。 2. 忙碌的時候時間過得很快。")</f>
        <v>1. 她計時記錄了完成這項任務所需的時間。 2. 忙碌的時候時間過得很快。</v>
      </c>
    </row>
    <row r="702">
      <c r="A702" s="5" t="s">
        <v>2105</v>
      </c>
      <c r="B702" s="6" t="s">
        <v>2106</v>
      </c>
      <c r="C702" s="5" t="s">
        <v>7</v>
      </c>
      <c r="D702" s="5" t="s">
        <v>2107</v>
      </c>
      <c r="E702" s="3" t="str">
        <f>IFERROR(__xludf.DUMMYFUNCTION("GOOGLETRANSLATE(D702, ""en"", ""zh-tw"")"),"1. 我聽到外面傳來微弱的聲音。 2. 她差點因為太熱而暈倒。")</f>
        <v>1. 我聽到外面傳來微弱的聲音。 2. 她差點因為太熱而暈倒。</v>
      </c>
    </row>
    <row r="703">
      <c r="A703" s="5" t="s">
        <v>2108</v>
      </c>
      <c r="B703" s="6" t="s">
        <v>2109</v>
      </c>
      <c r="C703" s="5" t="s">
        <v>7</v>
      </c>
      <c r="D703" s="5" t="s">
        <v>2110</v>
      </c>
      <c r="E703" s="3" t="str">
        <f>IFERROR(__xludf.DUMMYFUNCTION("GOOGLETRANSLATE(D703, ""en"", ""zh-tw"")"),"我隱約能看到遠處的燈光。")</f>
        <v>我隱約能看到遠處的燈光。</v>
      </c>
    </row>
    <row r="704">
      <c r="A704" s="5" t="s">
        <v>2111</v>
      </c>
      <c r="B704" s="6" t="s">
        <v>2112</v>
      </c>
      <c r="C704" s="5" t="s">
        <v>7</v>
      </c>
      <c r="D704" s="5" t="s">
        <v>2113</v>
      </c>
      <c r="E704" s="3" t="str">
        <f>IFERROR(__xludf.DUMMYFUNCTION("GOOGLETRANSLATE(D704, ""en"", ""zh-tw"")"),"齒輪損壞導致機器停止運轉。")</f>
        <v>齒輪損壞導致機器停止運轉。</v>
      </c>
    </row>
    <row r="705">
      <c r="A705" s="5" t="s">
        <v>2114</v>
      </c>
      <c r="B705" s="6" t="s">
        <v>2115</v>
      </c>
      <c r="C705" s="5" t="s">
        <v>17</v>
      </c>
      <c r="D705" s="5" t="s">
        <v>2116</v>
      </c>
      <c r="E705" s="3" t="str">
        <f>IFERROR(__xludf.DUMMYFUNCTION("GOOGLETRANSLATE(D705, ""en"", ""zh-tw"")"),"機器中的每一個齒輪都必須正常運作。")</f>
        <v>機器中的每一個齒輪都必須正常運作。</v>
      </c>
    </row>
    <row r="706">
      <c r="A706" s="5" t="s">
        <v>2117</v>
      </c>
      <c r="B706" s="6" t="s">
        <v>2118</v>
      </c>
      <c r="C706" s="5" t="s">
        <v>17</v>
      </c>
      <c r="D706" s="5" t="s">
        <v>2119</v>
      </c>
      <c r="E706" s="3" t="str">
        <f>IFERROR(__xludf.DUMMYFUNCTION("GOOGLETRANSLATE(D706, ""en"", ""zh-tw"")"),"手推車的輪子壞了。")</f>
        <v>手推車的輪子壞了。</v>
      </c>
    </row>
    <row r="707">
      <c r="A707" s="5" t="s">
        <v>2120</v>
      </c>
      <c r="B707" s="6" t="s">
        <v>2121</v>
      </c>
      <c r="C707" s="5" t="s">
        <v>7</v>
      </c>
      <c r="D707" s="5" t="s">
        <v>2122</v>
      </c>
      <c r="E707" s="3" t="str">
        <f>IFERROR(__xludf.DUMMYFUNCTION("GOOGLETRANSLATE(D707, ""en"", ""zh-tw"")"),"我們需要找出問題的原因。")</f>
        <v>我們需要找出問題的原因。</v>
      </c>
    </row>
    <row r="708">
      <c r="A708" s="5" t="s">
        <v>2123</v>
      </c>
      <c r="B708" s="6" t="s">
        <v>2124</v>
      </c>
      <c r="C708" s="5" t="s">
        <v>279</v>
      </c>
      <c r="D708" s="5" t="s">
        <v>2125</v>
      </c>
      <c r="E708" s="3" t="str">
        <f>IFERROR(__xludf.DUMMYFUNCTION("GOOGLETRANSLATE(D708, ""en"", ""zh-tw"")"),"1. 火箭的飛行軌跡在發射前經過了仔細計算。 2. 她跳槽到新公司後，職涯發展軌跡發生了變化。")</f>
        <v>1. 火箭的飛行軌跡在發射前經過了仔細計算。 2. 她跳槽到新公司後，職涯發展軌跡發生了變化。</v>
      </c>
    </row>
    <row r="709">
      <c r="A709" s="5" t="s">
        <v>2126</v>
      </c>
      <c r="B709" s="6" t="s">
        <v>2127</v>
      </c>
      <c r="C709" s="5" t="s">
        <v>7</v>
      </c>
      <c r="D709" s="5" t="s">
        <v>2128</v>
      </c>
      <c r="E709" s="3" t="str">
        <f>IFERROR(__xludf.DUMMYFUNCTION("GOOGLETRANSLATE(D709, ""en"", ""zh-tw"")"),"採訪中，她迅速迴避了這個問題。")</f>
        <v>採訪中，她迅速迴避了這個問題。</v>
      </c>
    </row>
    <row r="710">
      <c r="A710" s="5" t="s">
        <v>2129</v>
      </c>
      <c r="B710" s="6" t="s">
        <v>2130</v>
      </c>
      <c r="C710" s="5" t="s">
        <v>7</v>
      </c>
      <c r="D710" s="5" t="s">
        <v>2131</v>
      </c>
      <c r="E710" s="3" t="str">
        <f>IFERROR(__xludf.DUMMYFUNCTION("GOOGLETRANSLATE(D710, ""en"", ""zh-tw"")"),"1. 這隻貓身手敏捷，輕鬆跳上了屋頂。 2. 這家公司在應對市場變化方面展現了極強的彈性。")</f>
        <v>1. 這隻貓身手敏捷，輕鬆跳上了屋頂。 2. 這家公司在應對市場變化方面展現了極強的彈性。</v>
      </c>
    </row>
    <row r="711">
      <c r="A711" s="5" t="s">
        <v>2132</v>
      </c>
      <c r="B711" s="6" t="s">
        <v>2133</v>
      </c>
      <c r="C711" s="5" t="s">
        <v>7</v>
      </c>
      <c r="D711" s="5" t="s">
        <v>2134</v>
      </c>
      <c r="E711" s="3" t="str">
        <f>IFERROR(__xludf.DUMMYFUNCTION("GOOGLETRANSLATE(D711, ""en"", ""zh-tw"")"),"他用一個笑話巧妙地迴避了這個棘手的問題。")</f>
        <v>他用一個笑話巧妙地迴避了這個棘手的問題。</v>
      </c>
    </row>
    <row r="712">
      <c r="A712" s="5" t="s">
        <v>2135</v>
      </c>
      <c r="B712" s="6" t="s">
        <v>2136</v>
      </c>
      <c r="C712" s="5" t="s">
        <v>7</v>
      </c>
      <c r="D712" s="5" t="s">
        <v>2137</v>
      </c>
      <c r="E712" s="3" t="str">
        <f>IFERROR(__xludf.DUMMYFUNCTION("GOOGLETRANSLATE(D712, ""en"", ""zh-tw"")"),"我們生活在數位時代，大部分資訊都存在於網路上。")</f>
        <v>我們生活在數位時代，大部分資訊都存在於網路上。</v>
      </c>
    </row>
    <row r="713">
      <c r="A713" s="5" t="s">
        <v>2138</v>
      </c>
      <c r="B713" s="6" t="s">
        <v>2139</v>
      </c>
      <c r="C713" s="5" t="s">
        <v>7</v>
      </c>
      <c r="D713" s="5" t="s">
        <v>2140</v>
      </c>
      <c r="E713" s="3" t="str">
        <f>IFERROR(__xludf.DUMMYFUNCTION("GOOGLETRANSLATE(D713, ""en"", ""zh-tw"")"),"跑馬拉松需要很強的耐力。")</f>
        <v>跑馬拉松需要很強的耐力。</v>
      </c>
    </row>
    <row r="714">
      <c r="A714" s="5" t="s">
        <v>2141</v>
      </c>
      <c r="B714" s="6" t="s">
        <v>2142</v>
      </c>
      <c r="C714" s="5" t="s">
        <v>17</v>
      </c>
      <c r="D714" s="5" t="s">
        <v>2143</v>
      </c>
      <c r="E714" s="3" t="str">
        <f>IFERROR(__xludf.DUMMYFUNCTION("GOOGLETRANSLATE(D714, ""en"", ""zh-tw"")"),"您還需要什麼嗎？")</f>
        <v>您還需要什麼嗎？</v>
      </c>
    </row>
    <row r="715">
      <c r="A715" s="5" t="s">
        <v>2144</v>
      </c>
      <c r="B715" s="6" t="s">
        <v>2145</v>
      </c>
      <c r="C715" s="5" t="s">
        <v>7</v>
      </c>
      <c r="D715" s="5" t="s">
        <v>2146</v>
      </c>
      <c r="E715" s="3" t="str">
        <f>IFERROR(__xludf.DUMMYFUNCTION("GOOGLETRANSLATE(D715, ""en"", ""zh-tw"")"),"她熬了一整夜，臉色蒼白憔悴。")</f>
        <v>她熬了一整夜，臉色蒼白憔悴。</v>
      </c>
    </row>
    <row r="716">
      <c r="A716" s="5" t="s">
        <v>2147</v>
      </c>
      <c r="B716" s="6" t="s">
        <v>2148</v>
      </c>
      <c r="C716" s="5" t="s">
        <v>7</v>
      </c>
      <c r="D716" s="5" t="s">
        <v>2149</v>
      </c>
      <c r="E716" s="3" t="str">
        <f>IFERROR(__xludf.DUMMYFUNCTION("GOOGLETRANSLATE(D716, ""en"", ""zh-tw"")"),"她去年獲得了護士資格。")</f>
        <v>她去年獲得了護士資格。</v>
      </c>
    </row>
    <row r="717">
      <c r="A717" s="5" t="s">
        <v>2150</v>
      </c>
      <c r="B717" s="6" t="s">
        <v>2151</v>
      </c>
      <c r="C717" s="5" t="s">
        <v>7</v>
      </c>
      <c r="D717" s="5" t="s">
        <v>2152</v>
      </c>
      <c r="E717" s="3" t="str">
        <f>IFERROR(__xludf.DUMMYFUNCTION("GOOGLETRANSLATE(D717, ""en"", ""zh-tw"")"),"這份工作需要哪些資格？")</f>
        <v>這份工作需要哪些資格？</v>
      </c>
    </row>
    <row r="718">
      <c r="A718" s="5" t="s">
        <v>2153</v>
      </c>
      <c r="B718" s="6" t="s">
        <v>2154</v>
      </c>
      <c r="C718" s="5" t="s">
        <v>7</v>
      </c>
      <c r="D718" s="5" t="s">
        <v>2155</v>
      </c>
      <c r="E718" s="3" t="str">
        <f>IFERROR(__xludf.DUMMYFUNCTION("GOOGLETRANSLATE(D718, ""en"", ""zh-tw"")"),"由於暴風雨天氣，提前離開是個明智的決定。")</f>
        <v>由於暴風雨天氣，提前離開是個明智的決定。</v>
      </c>
    </row>
    <row r="719">
      <c r="A719" s="5" t="s">
        <v>2156</v>
      </c>
      <c r="B719" s="6" t="s">
        <v>2157</v>
      </c>
      <c r="C719" s="5" t="s">
        <v>279</v>
      </c>
      <c r="D719" s="5" t="s">
        <v>2158</v>
      </c>
      <c r="E719" s="3" t="str">
        <f>IFERROR(__xludf.DUMMYFUNCTION("GOOGLETRANSLATE(D719, ""en"", ""zh-tw"")"),"1. 煙火在夜空中綻放出絢麗的景象。 2. 遊行隊伍色彩繽紛，吸引了成千上萬的人前來觀看。")</f>
        <v>1. 煙火在夜空中綻放出絢麗的景象。 2. 遊行隊伍色彩繽紛，吸引了成千上萬的人前來觀看。</v>
      </c>
    </row>
    <row r="720">
      <c r="A720" s="5" t="s">
        <v>2159</v>
      </c>
      <c r="B720" s="6" t="s">
        <v>2160</v>
      </c>
      <c r="C720" s="5" t="s">
        <v>7</v>
      </c>
      <c r="D720" s="5" t="s">
        <v>2161</v>
      </c>
      <c r="E720" s="3" t="str">
        <f>IFERROR(__xludf.DUMMYFUNCTION("GOOGLETRANSLATE(D720, ""en"", ""zh-tw"")"),"1. 如果系統維護不當，可能會出現問題。 2. 她迎來了一個新的機會。")</f>
        <v>1. 如果系統維護不當，可能會出現問題。 2. 她迎來了一個新的機會。</v>
      </c>
    </row>
    <row r="721">
      <c r="A721" s="5" t="s">
        <v>2162</v>
      </c>
      <c r="B721" s="6" t="s">
        <v>2163</v>
      </c>
      <c r="C721" s="5" t="s">
        <v>7</v>
      </c>
      <c r="D721" s="5" t="s">
        <v>2164</v>
      </c>
      <c r="E721" s="3" t="str">
        <f>IFERROR(__xludf.DUMMYFUNCTION("GOOGLETRANSLATE(D721, ""en"", ""zh-tw"")"),"1. 我觀看了一個關於如何使用Excel的線上教學。 2. 老師告訴我們如何解決數學問題。")</f>
        <v>1. 我觀看了一個關於如何使用Excel的線上教學。 2. 老師告訴我們如何解決數學問題。</v>
      </c>
    </row>
    <row r="722">
      <c r="A722" s="5" t="s">
        <v>2165</v>
      </c>
      <c r="B722" s="6" t="s">
        <v>2166</v>
      </c>
      <c r="C722" s="5" t="s">
        <v>7</v>
      </c>
      <c r="D722" s="5" t="s">
        <v>2167</v>
      </c>
      <c r="E722" s="3" t="str">
        <f>IFERROR(__xludf.DUMMYFUNCTION("GOOGLETRANSLATE(D722, ""en"", ""zh-tw"")"),"1. 我在賽前查看了球員的統計數據。 2. 網站顯示每日流量統計資料。")</f>
        <v>1. 我在賽前查看了球員的統計數據。 2. 網站顯示每日流量統計資料。</v>
      </c>
    </row>
    <row r="723">
      <c r="A723" s="5" t="s">
        <v>2168</v>
      </c>
      <c r="B723" s="6" t="s">
        <v>2169</v>
      </c>
      <c r="C723" s="5" t="s">
        <v>7</v>
      </c>
      <c r="D723" s="5" t="s">
        <v>2170</v>
      </c>
      <c r="E723" s="3" t="str">
        <f>IFERROR(__xludf.DUMMYFUNCTION("GOOGLETRANSLATE(D723, ""en"", ""zh-tw"")"),"該產品的價格已大幅降低。")</f>
        <v>該產品的價格已大幅降低。</v>
      </c>
    </row>
    <row r="724">
      <c r="A724" s="5" t="s">
        <v>2171</v>
      </c>
      <c r="B724" s="6" t="s">
        <v>2172</v>
      </c>
      <c r="C724" s="5" t="s">
        <v>7</v>
      </c>
      <c r="D724" s="5" t="s">
        <v>2173</v>
      </c>
      <c r="E724" s="3" t="str">
        <f>IFERROR(__xludf.DUMMYFUNCTION("GOOGLETRANSLATE(D724, ""en"", ""zh-tw"")"),"我們仍在等待調查結果。")</f>
        <v>我們仍在等待調查結果。</v>
      </c>
    </row>
    <row r="725">
      <c r="A725" s="5" t="s">
        <v>2174</v>
      </c>
      <c r="B725" s="6" t="s">
        <v>2175</v>
      </c>
      <c r="C725" s="5" t="s">
        <v>7</v>
      </c>
      <c r="D725" s="5" t="s">
        <v>2176</v>
      </c>
      <c r="E725" s="3" t="str">
        <f>IFERROR(__xludf.DUMMYFUNCTION("GOOGLETRANSLATE(D725, ""en"", ""zh-tw"")"),"1. 規律運動可以提高老年人的活動能力。 2. 該公司提供跨部門流動性高的職位。")</f>
        <v>1. 規律運動可以提高老年人的活動能力。 2. 該公司提供跨部門流動性高的職位。</v>
      </c>
    </row>
    <row r="726">
      <c r="A726" s="5" t="s">
        <v>2177</v>
      </c>
      <c r="B726" s="6" t="s">
        <v>2139</v>
      </c>
      <c r="C726" s="5" t="s">
        <v>279</v>
      </c>
      <c r="D726" s="5" t="s">
        <v>2178</v>
      </c>
      <c r="E726" s="3" t="str">
        <f>IFERROR(__xludf.DUMMYFUNCTION("GOOGLETRANSLATE(D726, ""en"", ""zh-tw"")"),"馬拉松運動員需要強大的耐力。")</f>
        <v>馬拉松運動員需要強大的耐力。</v>
      </c>
    </row>
    <row r="727">
      <c r="A727" s="5" t="s">
        <v>2179</v>
      </c>
      <c r="B727" s="6" t="s">
        <v>2180</v>
      </c>
      <c r="C727" s="5" t="s">
        <v>17</v>
      </c>
      <c r="D727" s="5" t="s">
        <v>2181</v>
      </c>
      <c r="E727" s="3" t="str">
        <f>IFERROR(__xludf.DUMMYFUNCTION("GOOGLETRANSLATE(D727, ""en"", ""zh-tw"")"),"他手臂上的傷口還在癒合中。")</f>
        <v>他手臂上的傷口還在癒合中。</v>
      </c>
    </row>
    <row r="728">
      <c r="A728" s="5" t="s">
        <v>2182</v>
      </c>
      <c r="B728" s="6" t="s">
        <v>2183</v>
      </c>
      <c r="C728" s="5" t="s">
        <v>7</v>
      </c>
      <c r="D728" s="5" t="s">
        <v>2184</v>
      </c>
      <c r="E728" s="3" t="str">
        <f>IFERROR(__xludf.DUMMYFUNCTION("GOOGLETRANSLATE(D728, ""en"", ""zh-tw"")"),"1. 這艘船的失蹤至今仍是個謎。 2. 她喜歡讀推理小說。")</f>
        <v>1. 這艘船的失蹤至今仍是個謎。 2. 她喜歡讀推理小說。</v>
      </c>
    </row>
    <row r="729">
      <c r="A729" s="5" t="s">
        <v>2185</v>
      </c>
      <c r="B729" s="6" t="s">
        <v>2186</v>
      </c>
      <c r="C729" s="5" t="s">
        <v>7</v>
      </c>
      <c r="D729" s="5" t="s">
        <v>2187</v>
      </c>
      <c r="E729" s="3" t="str">
        <f>IFERROR(__xludf.DUMMYFUNCTION("GOOGLETRANSLATE(D729, ""en"", ""zh-tw"")"),"商人在市場上出售香料和絲綢。")</f>
        <v>商人在市場上出售香料和絲綢。</v>
      </c>
    </row>
    <row r="730">
      <c r="A730" s="5" t="s">
        <v>2188</v>
      </c>
      <c r="B730" s="6" t="s">
        <v>2189</v>
      </c>
      <c r="C730" s="5" t="s">
        <v>7</v>
      </c>
      <c r="D730" s="5" t="s">
        <v>2190</v>
      </c>
      <c r="E730" s="3" t="str">
        <f>IFERROR(__xludf.DUMMYFUNCTION("GOOGLETRANSLATE(D730, ""en"", ""zh-tw"")"),"考完試後，我感到如釋重負。")</f>
        <v>考完試後，我感到如釋重負。</v>
      </c>
    </row>
    <row r="731">
      <c r="A731" s="5" t="s">
        <v>2191</v>
      </c>
      <c r="B731" s="6" t="s">
        <v>2192</v>
      </c>
      <c r="C731" s="5" t="s">
        <v>7</v>
      </c>
      <c r="D731" s="5" t="s">
        <v>2193</v>
      </c>
      <c r="E731" s="3" t="str">
        <f>IFERROR(__xludf.DUMMYFUNCTION("GOOGLETRANSLATE(D731, ""en"", ""zh-tw"")"),"1. 該慈善機構正在為救災募款。 2. 他因在街頭乞討而被逮捕。")</f>
        <v>1. 該慈善機構正在為救災募款。 2. 他因在街頭乞討而被逮捕。</v>
      </c>
    </row>
    <row r="732">
      <c r="A732" s="5" t="s">
        <v>2194</v>
      </c>
      <c r="B732" s="6" t="s">
        <v>2195</v>
      </c>
      <c r="C732" s="5" t="s">
        <v>17</v>
      </c>
      <c r="D732" s="5" t="s">
        <v>2196</v>
      </c>
      <c r="E732" s="3" t="str">
        <f>IFERROR(__xludf.DUMMYFUNCTION("GOOGLETRANSLATE(D732, ""en"", ""zh-tw"")"),"我看到她從窗邊經過。")</f>
        <v>我看到她從窗邊經過。</v>
      </c>
    </row>
    <row r="733">
      <c r="A733" s="5" t="s">
        <v>2197</v>
      </c>
      <c r="B733" s="6" t="s">
        <v>2198</v>
      </c>
      <c r="C733" s="5" t="s">
        <v>7</v>
      </c>
      <c r="D733" s="5" t="s">
        <v>2199</v>
      </c>
      <c r="E733" s="3" t="str">
        <f>IFERROR(__xludf.DUMMYFUNCTION("GOOGLETRANSLATE(D733, ""en"", ""zh-tw"")"),"我偶爾會在週末去健行。")</f>
        <v>我偶爾會在週末去健行。</v>
      </c>
    </row>
    <row r="734">
      <c r="A734" s="5" t="s">
        <v>2200</v>
      </c>
      <c r="B734" s="6" t="s">
        <v>2201</v>
      </c>
      <c r="C734" s="5" t="s">
        <v>279</v>
      </c>
      <c r="D734" s="5" t="s">
        <v>2202</v>
      </c>
      <c r="E734" s="3" t="str">
        <f>IFERROR(__xludf.DUMMYFUNCTION("GOOGLETRANSLATE(D734, ""en"", ""zh-tw"")"),"1. 智慧型手機如今已成為日常生活中的常見物品。 2. 他的演講充斥著陳腔濫調。")</f>
        <v>1. 智慧型手機如今已成為日常生活中的常見物品。 2. 他的演講充斥著陳腔濫調。</v>
      </c>
    </row>
    <row r="735">
      <c r="A735" s="5" t="s">
        <v>2203</v>
      </c>
      <c r="B735" s="6" t="s">
        <v>2204</v>
      </c>
      <c r="C735" s="5" t="s">
        <v>7</v>
      </c>
      <c r="D735" s="5" t="s">
        <v>2205</v>
      </c>
      <c r="E735" s="3" t="str">
        <f>IFERROR(__xludf.DUMMYFUNCTION("GOOGLETRANSLATE(D735, ""en"", ""zh-tw"")"),"巫師給了他一瓶治療藥水。")</f>
        <v>巫師給了他一瓶治療藥水。</v>
      </c>
    </row>
    <row r="736">
      <c r="A736" s="5" t="s">
        <v>2206</v>
      </c>
      <c r="B736" s="6" t="s">
        <v>2207</v>
      </c>
      <c r="C736" s="5" t="s">
        <v>7</v>
      </c>
      <c r="D736" s="5" t="s">
        <v>2208</v>
      </c>
      <c r="E736" s="3" t="str">
        <f>IFERROR(__xludf.DUMMYFUNCTION("GOOGLETRANSLATE(D736, ""en"", ""zh-tw"")"),"1. 考古學家在遺址中發現了古代文物。 2. 掃描結果顯示，文物是由移動造成的。")</f>
        <v>1. 考古學家在遺址中發現了古代文物。 2. 掃描結果顯示，文物是由移動造成的。</v>
      </c>
    </row>
    <row r="737">
      <c r="A737" s="5" t="s">
        <v>2209</v>
      </c>
      <c r="B737" s="6" t="s">
        <v>2210</v>
      </c>
      <c r="C737" s="5" t="s">
        <v>17</v>
      </c>
      <c r="D737" s="5" t="s">
        <v>2211</v>
      </c>
      <c r="E737" s="3" t="str">
        <f>IFERROR(__xludf.DUMMYFUNCTION("GOOGLETRANSLATE(D737, ""en"", ""zh-tw"")"),"1. 這頭公牛長著又大又尖的角。 2. 他按了汽車喇叭提醒司機。 3. 獵人吹響了喇叭向其他人發出訊號。")</f>
        <v>1. 這頭公牛長著又大又尖的角。 2. 他按了汽車喇叭提醒司機。 3. 獵人吹響了喇叭向其他人發出訊號。</v>
      </c>
    </row>
    <row r="738">
      <c r="A738" s="5" t="s">
        <v>2212</v>
      </c>
      <c r="B738" s="6" t="s">
        <v>2213</v>
      </c>
      <c r="C738" s="5" t="s">
        <v>7</v>
      </c>
      <c r="D738" s="5" t="s">
        <v>2214</v>
      </c>
      <c r="E738" s="3" t="str">
        <f>IFERROR(__xludf.DUMMYFUNCTION("GOOGLETRANSLATE(D738, ""en"", ""zh-tw"")"),"1. 她在實習期間累積了豐富的經驗。 2. 他去年收購了這家公司。")</f>
        <v>1. 她在實習期間累積了豐富的經驗。 2. 他去年收購了這家公司。</v>
      </c>
    </row>
    <row r="739">
      <c r="A739" s="5" t="s">
        <v>2215</v>
      </c>
      <c r="B739" s="6" t="s">
        <v>2216</v>
      </c>
      <c r="C739" s="5" t="s">
        <v>17</v>
      </c>
      <c r="D739" s="5" t="s">
        <v>2217</v>
      </c>
      <c r="E739" s="3" t="str">
        <f>IFERROR(__xludf.DUMMYFUNCTION("GOOGLETRANSLATE(D739, ""en"", ""zh-tw"")"),"你可以信賴我。")</f>
        <v>你可以信賴我。</v>
      </c>
    </row>
    <row r="740">
      <c r="A740" s="5" t="s">
        <v>2218</v>
      </c>
      <c r="B740" s="6" t="s">
        <v>2219</v>
      </c>
      <c r="C740" s="5" t="s">
        <v>7</v>
      </c>
      <c r="D740" s="5" t="s">
        <v>2220</v>
      </c>
      <c r="E740" s="3" t="str">
        <f>IFERROR(__xludf.DUMMYFUNCTION("GOOGLETRANSLATE(D740, ""en"", ""zh-tw"")"),"1. 定期運動有益身體健康。 2. 我們需要考慮建築物的物理環境。 3. 他喜歡紙本書而不是電子書。")</f>
        <v>1. 定期運動有益身體健康。 2. 我們需要考慮建築物的物理環境。 3. 他喜歡紙本書而不是電子書。</v>
      </c>
    </row>
    <row r="741">
      <c r="A741" s="5" t="s">
        <v>2221</v>
      </c>
      <c r="B741" s="6" t="s">
        <v>2222</v>
      </c>
      <c r="C741" s="5" t="s">
        <v>7</v>
      </c>
      <c r="D741" s="5" t="s">
        <v>2223</v>
      </c>
      <c r="E741" s="3" t="str">
        <f>IFERROR(__xludf.DUMMYFUNCTION("GOOGLETRANSLATE(D741, ""en"", ""zh-tw"")"),"1. 我確信他會來。 2. 有些人對噪音比較敏感。 3. 這個項目存在一定的風險。")</f>
        <v>1. 我確信他會來。 2. 有些人對噪音比較敏感。 3. 這個項目存在一定的風險。</v>
      </c>
    </row>
    <row r="742">
      <c r="A742" s="5" t="s">
        <v>2224</v>
      </c>
      <c r="B742" s="6" t="s">
        <v>2225</v>
      </c>
      <c r="C742" s="5" t="s">
        <v>17</v>
      </c>
      <c r="D742" s="5" t="s">
        <v>2226</v>
      </c>
      <c r="E742" s="3" t="str">
        <f>IFERROR(__xludf.DUMMYFUNCTION("GOOGLETRANSLATE(D742, ""en"", ""zh-tw"")"),"訓練幫助他達到了預期目標。")</f>
        <v>訓練幫助他達到了預期目標。</v>
      </c>
    </row>
    <row r="743">
      <c r="A743" s="5" t="s">
        <v>2227</v>
      </c>
      <c r="B743" s="6" t="s">
        <v>2228</v>
      </c>
      <c r="C743" s="5" t="s">
        <v>7</v>
      </c>
      <c r="D743" s="5" t="s">
        <v>2229</v>
      </c>
      <c r="E743" s="3" t="str">
        <f>IFERROR(__xludf.DUMMYFUNCTION("GOOGLETRANSLATE(D743, ""en"", ""zh-tw"")"),"1. 這款飲料含糖量太高了。 2. 總成本為500美元。")</f>
        <v>1. 這款飲料含糖量太高了。 2. 總成本為500美元。</v>
      </c>
    </row>
    <row r="744">
      <c r="A744" s="5" t="s">
        <v>2230</v>
      </c>
      <c r="B744" s="6" t="s">
        <v>2231</v>
      </c>
      <c r="C744" s="5" t="s">
        <v>7</v>
      </c>
      <c r="D744" s="5" t="s">
        <v>2232</v>
      </c>
      <c r="E744" s="3" t="str">
        <f>IFERROR(__xludf.DUMMYFUNCTION("GOOGLETRANSLATE(D744, ""en"", ""zh-tw"")"),"他的良心不允許他說謊。")</f>
        <v>他的良心不允許他說謊。</v>
      </c>
    </row>
    <row r="745">
      <c r="A745" s="5" t="s">
        <v>2233</v>
      </c>
      <c r="B745" s="6" t="s">
        <v>2234</v>
      </c>
      <c r="C745" s="5" t="s">
        <v>7</v>
      </c>
      <c r="D745" s="5" t="s">
        <v>2235</v>
      </c>
      <c r="E745" s="3" t="str">
        <f>IFERROR(__xludf.DUMMYFUNCTION("GOOGLETRANSLATE(D745, ""en"", ""zh-tw"")"),"1. 人體需要鈣、鐵等必需礦物質。 2. 礦泉水通常以瓶裝形式販售。")</f>
        <v>1. 人體需要鈣、鐵等必需礦物質。 2. 礦泉水通常以瓶裝形式販售。</v>
      </c>
    </row>
    <row r="746">
      <c r="A746" s="5" t="s">
        <v>2236</v>
      </c>
      <c r="B746" s="6" t="s">
        <v>2237</v>
      </c>
      <c r="C746" s="5" t="s">
        <v>7</v>
      </c>
      <c r="D746" s="5" t="s">
        <v>2238</v>
      </c>
      <c r="E746" s="3" t="str">
        <f>IFERROR(__xludf.DUMMYFUNCTION("GOOGLETRANSLATE(D746, ""en"", ""zh-tw"")"),"銀行搶劫案發生在光天化日之下。")</f>
        <v>銀行搶劫案發生在光天化日之下。</v>
      </c>
    </row>
    <row r="747">
      <c r="A747" s="5" t="s">
        <v>2239</v>
      </c>
      <c r="B747" s="6" t="s">
        <v>2240</v>
      </c>
      <c r="C747" s="5" t="s">
        <v>17</v>
      </c>
      <c r="D747" s="5" t="s">
        <v>2241</v>
      </c>
      <c r="E747" s="3" t="str">
        <f>IFERROR(__xludf.DUMMYFUNCTION("GOOGLETRANSLATE(D747, ""en"", ""zh-tw"")"),"1. 今天天氣晴朗。 2. 他因為超速被罰款了。")</f>
        <v>1. 今天天氣晴朗。 2. 他因為超速被罰款了。</v>
      </c>
    </row>
    <row r="748">
      <c r="A748" s="5" t="s">
        <v>2242</v>
      </c>
      <c r="B748" s="6" t="s">
        <v>2243</v>
      </c>
      <c r="C748" s="5" t="s">
        <v>7</v>
      </c>
      <c r="D748" s="5" t="s">
        <v>2244</v>
      </c>
      <c r="E748" s="3" t="str">
        <f>IFERROR(__xludf.DUMMYFUNCTION("GOOGLETRANSLATE(D748, ""en"", ""zh-tw"")"),"1. 這部電影從頭到尾都非常精彩。 2. 他是一位風趣幽默的演講者，能讓大家保持興趣。")</f>
        <v>1. 這部電影從頭到尾都非常精彩。 2. 他是一位風趣幽默的演講者，能讓大家保持興趣。</v>
      </c>
    </row>
    <row r="749">
      <c r="A749" s="5" t="s">
        <v>2245</v>
      </c>
      <c r="B749" s="6" t="s">
        <v>2246</v>
      </c>
      <c r="C749" s="5" t="s">
        <v>7</v>
      </c>
      <c r="D749" s="5" t="s">
        <v>2247</v>
      </c>
      <c r="E749" s="3" t="str">
        <f>IFERROR(__xludf.DUMMYFUNCTION("GOOGLETRANSLATE(D749, ""en"", ""zh-tw"")"),"考試難度非常大。")</f>
        <v>考試難度非常大。</v>
      </c>
    </row>
    <row r="750">
      <c r="A750" s="5" t="s">
        <v>2248</v>
      </c>
      <c r="B750" s="6" t="s">
        <v>2249</v>
      </c>
      <c r="C750" s="5" t="s">
        <v>7</v>
      </c>
      <c r="D750" s="5" t="s">
        <v>2250</v>
      </c>
      <c r="E750" s="3" t="str">
        <f>IFERROR(__xludf.DUMMYFUNCTION("GOOGLETRANSLATE(D750, ""en"", ""zh-tw"")"),"語言技能通常是透過練習獲得的。")</f>
        <v>語言技能通常是透過練習獲得的。</v>
      </c>
    </row>
    <row r="751">
      <c r="A751" s="5" t="s">
        <v>2251</v>
      </c>
      <c r="B751" s="6" t="s">
        <v>2252</v>
      </c>
      <c r="C751" s="5" t="s">
        <v>7</v>
      </c>
      <c r="D751" s="5" t="s">
        <v>2253</v>
      </c>
      <c r="E751" s="3" t="str">
        <f>IFERROR(__xludf.DUMMYFUNCTION("GOOGLETRANSLATE(D751, ""en"", ""zh-tw"")"),"1. 石油必須經過提煉才能當作燃料。 2. 她在會前修改了她的演講稿。")</f>
        <v>1. 石油必須經過提煉才能當作燃料。 2. 她在會前修改了她的演講稿。</v>
      </c>
    </row>
    <row r="752">
      <c r="A752" s="5" t="s">
        <v>2254</v>
      </c>
      <c r="B752" s="6" t="s">
        <v>2255</v>
      </c>
      <c r="C752" s="5" t="s">
        <v>7</v>
      </c>
      <c r="D752" s="5" t="s">
        <v>2256</v>
      </c>
      <c r="E752" s="3" t="str">
        <f>IFERROR(__xludf.DUMMYFUNCTION("GOOGLETRANSLATE(D752, ""en"", ""zh-tw"")"),"學習語言需要大量的重複練習。")</f>
        <v>學習語言需要大量的重複練習。</v>
      </c>
    </row>
    <row r="753">
      <c r="A753" s="5" t="s">
        <v>2257</v>
      </c>
      <c r="B753" s="6" t="s">
        <v>2258</v>
      </c>
      <c r="C753" s="5" t="s">
        <v>279</v>
      </c>
      <c r="D753" s="5" t="s">
        <v>2259</v>
      </c>
      <c r="E753" s="3" t="str">
        <f>IFERROR(__xludf.DUMMYFUNCTION("GOOGLETRANSLATE(D753, ""en"", ""zh-tw"")"),"患有聯覺的人在聽到音樂時可能會看到顏色。")</f>
        <v>患有聯覺的人在聽到音樂時可能會看到顏色。</v>
      </c>
    </row>
    <row r="754">
      <c r="A754" s="5" t="s">
        <v>2260</v>
      </c>
      <c r="B754" s="6" t="s">
        <v>2261</v>
      </c>
      <c r="C754" s="5" t="s">
        <v>17</v>
      </c>
      <c r="D754" s="5" t="s">
        <v>2262</v>
      </c>
      <c r="E754" s="3" t="str">
        <f>IFERROR(__xludf.DUMMYFUNCTION("GOOGLETRANSLATE(D754, ""en"", ""zh-tw"")"),"1. 她把硬幣握在手掌裡。 2. 棕櫚樹在熱帶地區生長良好。")</f>
        <v>1. 她把硬幣握在手掌裡。 2. 棕櫚樹在熱帶地區生長良好。</v>
      </c>
    </row>
    <row r="755">
      <c r="A755" s="5" t="s">
        <v>2263</v>
      </c>
      <c r="B755" s="6" t="s">
        <v>2264</v>
      </c>
      <c r="C755" s="5" t="s">
        <v>7</v>
      </c>
      <c r="D755" s="5" t="s">
        <v>2265</v>
      </c>
      <c r="E755" s="3" t="str">
        <f>IFERROR(__xludf.DUMMYFUNCTION("GOOGLETRANSLATE(D755, ""en"", ""zh-tw"")"),"這位運動員以其出色的體能而聞名。")</f>
        <v>這位運動員以其出色的體能而聞名。</v>
      </c>
    </row>
    <row r="756">
      <c r="A756" s="5" t="s">
        <v>2266</v>
      </c>
      <c r="B756" s="6" t="s">
        <v>2267</v>
      </c>
      <c r="C756" s="5" t="s">
        <v>7</v>
      </c>
      <c r="D756" s="5" t="s">
        <v>2268</v>
      </c>
      <c r="E756" s="3" t="str">
        <f>IFERROR(__xludf.DUMMYFUNCTION("GOOGLETRANSLATE(D756, ""en"", ""zh-tw"")"),"1. 這個項目其實已經完成了。 2. 她在解決問題時思維務實。")</f>
        <v>1. 這個項目其實已經完成了。 2. 她在解決問題時思維務實。</v>
      </c>
    </row>
    <row r="757">
      <c r="A757" s="5" t="s">
        <v>2269</v>
      </c>
      <c r="B757" s="6" t="s">
        <v>2270</v>
      </c>
      <c r="C757" s="5" t="s">
        <v>7</v>
      </c>
      <c r="D757" s="5" t="s">
        <v>2271</v>
      </c>
      <c r="E757" s="3" t="str">
        <f>IFERROR(__xludf.DUMMYFUNCTION("GOOGLETRANSLATE(D757, ""en"", ""zh-tw"")"),"我特別喜歡科幻電影。")</f>
        <v>我特別喜歡科幻電影。</v>
      </c>
    </row>
    <row r="758">
      <c r="A758" s="5" t="s">
        <v>2272</v>
      </c>
      <c r="B758" s="6" t="s">
        <v>2273</v>
      </c>
      <c r="C758" s="5" t="s">
        <v>7</v>
      </c>
      <c r="D758" s="5" t="s">
        <v>2274</v>
      </c>
      <c r="E758" s="3" t="str">
        <f>IFERROR(__xludf.DUMMYFUNCTION("GOOGLETRANSLATE(D758, ""en"", ""zh-tw"")"),"道路部分被倒下的樹木阻擋。")</f>
        <v>道路部分被倒下的樹木阻擋。</v>
      </c>
    </row>
    <row r="759">
      <c r="A759" s="5" t="s">
        <v>2275</v>
      </c>
      <c r="B759" s="6" t="s">
        <v>2276</v>
      </c>
      <c r="C759" s="5" t="s">
        <v>7</v>
      </c>
      <c r="D759" s="5" t="s">
        <v>2277</v>
      </c>
      <c r="E759" s="3" t="str">
        <f>IFERROR(__xludf.DUMMYFUNCTION("GOOGLETRANSLATE(D759, ""en"", ""zh-tw"")"),"1. 在我看來，這個計劃並不實際。 2. 這位藝術家運用透視法在畫作中創造了深度。")</f>
        <v>1. 在我看來，這個計劃並不實際。 2. 這位藝術家運用透視法在畫作中創造了深度。</v>
      </c>
    </row>
    <row r="760">
      <c r="A760" s="5" t="s">
        <v>2278</v>
      </c>
      <c r="B760" s="6" t="s">
        <v>2279</v>
      </c>
      <c r="C760" s="5" t="s">
        <v>17</v>
      </c>
      <c r="D760" s="5" t="s">
        <v>2280</v>
      </c>
      <c r="E760" s="3" t="str">
        <f>IFERROR(__xludf.DUMMYFUNCTION("GOOGLETRANSLATE(D760, ""en"", ""zh-tw"")"),"1. 她不戴眼鏡視力也很好。 2. 高樓擋住了我看海的視線。 3. 這位領導者對未來有著清晰的願景。")</f>
        <v>1. 她不戴眼鏡視力也很好。 2. 高樓擋住了我看海的視線。 3. 這位領導者對未來有著清晰的願景。</v>
      </c>
    </row>
    <row r="761">
      <c r="A761" s="5" t="s">
        <v>2281</v>
      </c>
      <c r="B761" s="6" t="s">
        <v>2282</v>
      </c>
      <c r="C761" s="5" t="s">
        <v>7</v>
      </c>
      <c r="D761" s="5" t="s">
        <v>2283</v>
      </c>
      <c r="E761" s="3" t="str">
        <f>IFERROR(__xludf.DUMMYFUNCTION("GOOGLETRANSLATE(D761, ""en"", ""zh-tw"")"),"1. 燈光襯托出這幅畫的美。 2. 該公司下個月將推出一款新手機。 3. 他的演講引起了聽眾的強烈共鳴。")</f>
        <v>1. 燈光襯托出這幅畫的美。 2. 該公司下個月將推出一款新手機。 3. 他的演講引起了聽眾的強烈共鳴。</v>
      </c>
    </row>
    <row r="762">
      <c r="A762" s="5" t="s">
        <v>2284</v>
      </c>
      <c r="B762" s="6" t="s">
        <v>2285</v>
      </c>
      <c r="C762" s="5" t="s">
        <v>17</v>
      </c>
      <c r="D762" s="5" t="s">
        <v>2286</v>
      </c>
      <c r="E762" s="3" t="str">
        <f>IFERROR(__xludf.DUMMYFUNCTION("GOOGLETRANSLATE(D762, ""en"", ""zh-tw"")"),"1. 老師要求我們在寫作文之前先列個提綱。 2. 我在霧中能看到山的輪廓。 3. 他在會議上概述了他的計劃。")</f>
        <v>1. 老師要求我們在寫作文之前先列個提綱。 2. 我在霧中能看到山的輪廓。 3. 他在會議上概述了他的計劃。</v>
      </c>
    </row>
    <row r="763">
      <c r="A763" s="5" t="s">
        <v>2287</v>
      </c>
      <c r="B763" s="6" t="s">
        <v>2288</v>
      </c>
      <c r="C763" s="5" t="s">
        <v>17</v>
      </c>
      <c r="D763" s="5" t="s">
        <v>2289</v>
      </c>
      <c r="E763" s="3" t="str">
        <f>IFERROR(__xludf.DUMMYFUNCTION("GOOGLETRANSLATE(D763, ""en"", ""zh-tw"")"),"1. 天空中出現了一個奇怪的物體。 2. 這場比賽的目標是獲得最高分。 3. 我反對他的決定。")</f>
        <v>1. 天空中出現了一個奇怪的物體。 2. 這場比賽的目標是獲得最高分。 3. 我反對他的決定。</v>
      </c>
    </row>
    <row r="764">
      <c r="A764" s="5" t="s">
        <v>2290</v>
      </c>
      <c r="B764" s="6" t="s">
        <v>2291</v>
      </c>
      <c r="C764" s="5" t="s">
        <v>279</v>
      </c>
      <c r="D764" s="5" t="s">
        <v>2292</v>
      </c>
      <c r="E764" s="3" t="str">
        <f>IFERROR(__xludf.DUMMYFUNCTION("GOOGLETRANSLATE(D764, ""en"", ""zh-tw"")"),"1. 北極光是一種自然現象。 2. 她年紀輕輕就展現出音樂天份。")</f>
        <v>1. 北極光是一種自然現象。 2. 她年紀輕輕就展現出音樂天份。</v>
      </c>
    </row>
    <row r="765">
      <c r="A765" s="5" t="s">
        <v>2293</v>
      </c>
      <c r="B765" s="6" t="s">
        <v>2294</v>
      </c>
      <c r="C765" s="5" t="s">
        <v>17</v>
      </c>
      <c r="D765" s="5" t="s">
        <v>2295</v>
      </c>
      <c r="E765" s="3" t="str">
        <f>IFERROR(__xludf.DUMMYFUNCTION("GOOGLETRANSLATE(D765, ""en"", ""zh-tw"")"),"1. 這部電影很有意思。 2. 我對答案很有把握。")</f>
        <v>1. 這部電影很有意思。 2. 我對答案很有把握。</v>
      </c>
    </row>
    <row r="766">
      <c r="A766" s="5" t="s">
        <v>2296</v>
      </c>
      <c r="B766" s="6" t="s">
        <v>2297</v>
      </c>
      <c r="C766" s="5" t="s">
        <v>17</v>
      </c>
      <c r="D766" s="5" t="s">
        <v>2298</v>
      </c>
      <c r="E766" s="3" t="str">
        <f>IFERROR(__xludf.DUMMYFUNCTION("GOOGLETRANSLATE(D766, ""en"", ""zh-tw"")"),"1. 我們有足夠的時間完成這項工作。 2. 她個子夠高，能夠到架子上。 3. 夠了就是夠了。")</f>
        <v>1. 我們有足夠的時間完成這項工作。 2. 她個子夠高，能夠到架子上。 3. 夠了就是夠了。</v>
      </c>
    </row>
    <row r="767">
      <c r="A767" s="5" t="s">
        <v>2299</v>
      </c>
      <c r="B767" s="6" t="s">
        <v>2300</v>
      </c>
      <c r="C767" s="5" t="s">
        <v>17</v>
      </c>
      <c r="D767" s="5" t="s">
        <v>2301</v>
      </c>
      <c r="E767" s="3" t="str">
        <f>IFERROR(__xludf.DUMMYFUNCTION("GOOGLETRANSLATE(D767, ""en"", ""zh-tw"")"),"1. 他輕鬆贏得了比賽。 2. 他們一路狂奔到終點。")</f>
        <v>1. 他輕鬆贏得了比賽。 2. 他們一路狂奔到終點。</v>
      </c>
    </row>
    <row r="768">
      <c r="A768" s="5" t="s">
        <v>2302</v>
      </c>
      <c r="B768" s="6" t="s">
        <v>2303</v>
      </c>
      <c r="C768" s="5" t="s">
        <v>7</v>
      </c>
      <c r="D768" s="5" t="s">
        <v>2304</v>
      </c>
      <c r="E768" s="3" t="str">
        <f>IFERROR(__xludf.DUMMYFUNCTION("GOOGLETRANSLATE(D768, ""en"", ""zh-tw"")"),"1. 你需要認真對待這件事。 2. 今天非常冷。")</f>
        <v>1. 你需要認真對待這件事。 2. 今天非常冷。</v>
      </c>
    </row>
    <row r="769">
      <c r="A769" s="5" t="s">
        <v>2305</v>
      </c>
      <c r="B769" s="6" t="s">
        <v>2306</v>
      </c>
      <c r="C769" s="5" t="s">
        <v>17</v>
      </c>
      <c r="D769" s="5" t="s">
        <v>2307</v>
      </c>
      <c r="E769" s="3" t="str">
        <f>IFERROR(__xludf.DUMMYFUNCTION("GOOGLETRANSLATE(D769, ""en"", ""zh-tw"")"),"1. 這位跑者在整場比賽中都保持著穩定的速度。 2. 他在等待比賽結果時來回踱步。")</f>
        <v>1. 這位跑者在整場比賽中都保持著穩定的速度。 2. 他在等待比賽結果時來回踱步。</v>
      </c>
    </row>
    <row r="770">
      <c r="A770" s="5" t="s">
        <v>2308</v>
      </c>
      <c r="B770" s="6" t="s">
        <v>2309</v>
      </c>
      <c r="C770" s="5" t="s">
        <v>17</v>
      </c>
      <c r="D770" s="5" t="s">
        <v>2310</v>
      </c>
      <c r="E770" s="3" t="str">
        <f>IFERROR(__xludf.DUMMYFUNCTION("GOOGLETRANSLATE(D770, ""en"", ""zh-tw"")"),"1. 氣球升空了。 2. 今年的價格上漲了。 3. 學生人數增加了。")</f>
        <v>1. 氣球升空了。 2. 今年的價格上漲了。 3. 學生人數增加了。</v>
      </c>
    </row>
    <row r="771">
      <c r="A771" s="5" t="s">
        <v>2311</v>
      </c>
      <c r="B771" s="6" t="s">
        <v>2312</v>
      </c>
      <c r="C771" s="5" t="s">
        <v>17</v>
      </c>
      <c r="D771" s="5" t="s">
        <v>2313</v>
      </c>
      <c r="E771" s="3" t="str">
        <f>IFERROR(__xludf.DUMMYFUNCTION("GOOGLETRANSLATE(D771, ""en"", ""zh-tw"")"),"銅廣泛用於電線。")</f>
        <v>銅廣泛用於電線。</v>
      </c>
    </row>
    <row r="772">
      <c r="A772" s="5" t="s">
        <v>2314</v>
      </c>
      <c r="B772" s="6" t="s">
        <v>2315</v>
      </c>
      <c r="C772" s="5" t="s">
        <v>7</v>
      </c>
      <c r="D772" s="5" t="s">
        <v>2316</v>
      </c>
      <c r="E772" s="3" t="str">
        <f>IFERROR(__xludf.DUMMYFUNCTION("GOOGLETRANSLATE(D772, ""en"", ""zh-tw"")"),"農夫在田裡放置了一個稻草人來保護農作物。")</f>
        <v>農夫在田裡放置了一個稻草人來保護農作物。</v>
      </c>
    </row>
    <row r="773">
      <c r="A773" s="5" t="s">
        <v>2317</v>
      </c>
      <c r="B773" s="6" t="s">
        <v>2318</v>
      </c>
      <c r="C773" s="5" t="s">
        <v>7</v>
      </c>
      <c r="D773" s="5" t="s">
        <v>2319</v>
      </c>
      <c r="E773" s="3" t="str">
        <f>IFERROR(__xludf.DUMMYFUNCTION("GOOGLETRANSLATE(D773, ""en"", ""zh-tw"")"),"他常模仿老師的聲音。")</f>
        <v>他常模仿老師的聲音。</v>
      </c>
    </row>
    <row r="774">
      <c r="A774" s="5" t="s">
        <v>2320</v>
      </c>
      <c r="B774" s="6" t="s">
        <v>2321</v>
      </c>
      <c r="C774" s="5" t="s">
        <v>7</v>
      </c>
      <c r="D774" s="5" t="s">
        <v>2322</v>
      </c>
      <c r="E774" s="3" t="str">
        <f>IFERROR(__xludf.DUMMYFUNCTION("GOOGLETRANSLATE(D774, ""en"", ""zh-tw"")"),"1. 機器人的運動非常平穩。 2. 火車起初行駛緩慢。 3. 環保運動已在全球發展壯大。")</f>
        <v>1. 機器人的運動非常平穩。 2. 火車起初行駛緩慢。 3. 環保運動已在全球發展壯大。</v>
      </c>
    </row>
    <row r="775">
      <c r="A775" s="5" t="s">
        <v>2323</v>
      </c>
      <c r="B775" s="6" t="s">
        <v>2324</v>
      </c>
      <c r="C775" s="5" t="s">
        <v>7</v>
      </c>
      <c r="D775" s="5" t="s">
        <v>2325</v>
      </c>
      <c r="E775" s="3" t="str">
        <f>IFERROR(__xludf.DUMMYFUNCTION("GOOGLETRANSLATE(D775, ""en"", ""zh-tw"")"),"1. 這正是我需要的。 2. 時機剛剛好。 3. “所以你覺得我們應該走了？”——“正是如此。”")</f>
        <v>1. 這正是我需要的。 2. 時機剛剛好。 3. “所以你覺得我們應該走了？”——“正是如此。”</v>
      </c>
    </row>
    <row r="776">
      <c r="A776" s="5" t="s">
        <v>2326</v>
      </c>
      <c r="B776" s="6" t="s">
        <v>2327</v>
      </c>
      <c r="C776" s="5" t="s">
        <v>17</v>
      </c>
      <c r="D776" s="5" t="s">
        <v>2328</v>
      </c>
      <c r="E776" s="3" t="str">
        <f>IFERROR(__xludf.DUMMYFUNCTION("GOOGLETRANSLATE(D776, ""en"", ""zh-tw"")"),"1. 兩隊在決賽打成平手。 2. 他工作繁忙，無法出差。")</f>
        <v>1. 兩隊在決賽打成平手。 2. 他工作繁忙，無法出差。</v>
      </c>
    </row>
    <row r="777">
      <c r="A777" s="5" t="s">
        <v>2329</v>
      </c>
      <c r="B777" s="6" t="s">
        <v>2330</v>
      </c>
      <c r="C777" s="5" t="s">
        <v>17</v>
      </c>
      <c r="D777" s="5" t="s">
        <v>2331</v>
      </c>
      <c r="E777" s="3" t="str">
        <f>IFERROR(__xludf.DUMMYFUNCTION("GOOGLETRANSLATE(D777, ""en"", ""zh-tw"")"),"她出門前繫好了鞋帶。")</f>
        <v>她出門前繫好了鞋帶。</v>
      </c>
    </row>
    <row r="778">
      <c r="A778" s="5" t="s">
        <v>2332</v>
      </c>
      <c r="B778" s="6" t="s">
        <v>2333</v>
      </c>
      <c r="C778" s="5" t="s">
        <v>7</v>
      </c>
      <c r="D778" s="5" t="s">
        <v>2334</v>
      </c>
      <c r="E778" s="3" t="str">
        <f>IFERROR(__xludf.DUMMYFUNCTION("GOOGLETRANSLATE(D778, ""en"", ""zh-tw"")"),"科學家在癌症治療方面取得了重大突破。")</f>
        <v>科學家在癌症治療方面取得了重大突破。</v>
      </c>
    </row>
    <row r="779">
      <c r="A779" s="5" t="s">
        <v>2335</v>
      </c>
      <c r="B779" s="6" t="s">
        <v>2336</v>
      </c>
      <c r="C779" s="5" t="s">
        <v>17</v>
      </c>
      <c r="D779" s="5" t="s">
        <v>2337</v>
      </c>
      <c r="E779" s="3" t="str">
        <f>IFERROR(__xludf.DUMMYFUNCTION("GOOGLETRANSLATE(D779, ""en"", ""zh-tw"")"),"1. 他用叉子戳了戳肉。 2. 她感到胸口一陣劇痛。 3. 他嘗試回答這個問題。")</f>
        <v>1. 他用叉子戳了戳肉。 2. 她感到胸口一陣劇痛。 3. 他嘗試回答這個問題。</v>
      </c>
    </row>
    <row r="780">
      <c r="A780" s="5" t="s">
        <v>2338</v>
      </c>
      <c r="B780" s="6" t="s">
        <v>2339</v>
      </c>
      <c r="C780" s="5" t="s">
        <v>17</v>
      </c>
      <c r="D780" s="5" t="s">
        <v>2340</v>
      </c>
      <c r="E780" s="3" t="str">
        <f>IFERROR(__xludf.DUMMYFUNCTION("GOOGLETRANSLATE(D780, ""en"", ""zh-tw"")"),"1. 使用前需啟動軟體。 2. 熱能可以活化某些酵素。")</f>
        <v>1. 使用前需啟動軟體。 2. 熱能可以活化某些酵素。</v>
      </c>
    </row>
    <row r="781">
      <c r="A781" s="5" t="s">
        <v>2341</v>
      </c>
      <c r="B781" s="6" t="s">
        <v>2342</v>
      </c>
      <c r="C781" s="5" t="s">
        <v>17</v>
      </c>
      <c r="D781" s="5" t="s">
        <v>2343</v>
      </c>
      <c r="E781" s="3" t="str">
        <f>IFERROR(__xludf.DUMMYFUNCTION("GOOGLETRANSLATE(D781, ""en"", ""zh-tw"")"),"1. 他聽力很好。 2. 她沒有危險意識。 3. 我覺得有些不對勁。")</f>
        <v>1. 他聽力很好。 2. 她沒有危險意識。 3. 我覺得有些不對勁。</v>
      </c>
    </row>
    <row r="782">
      <c r="A782" s="5" t="s">
        <v>2344</v>
      </c>
      <c r="B782" s="6" t="s">
        <v>2345</v>
      </c>
      <c r="C782" s="5" t="s">
        <v>7</v>
      </c>
      <c r="D782" s="5" t="s">
        <v>2346</v>
      </c>
      <c r="E782" s="3" t="str">
        <f>IFERROR(__xludf.DUMMYFUNCTION("GOOGLETRANSLATE(D782, ""en"", ""zh-tw"")"),"1. 你的解釋很有道理。 2. 現在離開沒有意義。")</f>
        <v>1. 你的解釋很有道理。 2. 現在離開沒有意義。</v>
      </c>
    </row>
    <row r="783">
      <c r="A783" s="5" t="s">
        <v>2347</v>
      </c>
      <c r="B783" s="6" t="s">
        <v>2348</v>
      </c>
      <c r="C783" s="5" t="s">
        <v>7</v>
      </c>
      <c r="D783" s="5" t="s">
        <v>2349</v>
      </c>
      <c r="E783" s="3" t="str">
        <f>IFERROR(__xludf.DUMMYFUNCTION("GOOGLETRANSLATE(D783, ""en"", ""zh-tw"")"),"手機配備了指紋感應器，以確保安全。")</f>
        <v>手機配備了指紋感應器，以確保安全。</v>
      </c>
    </row>
    <row r="784">
      <c r="A784" s="5" t="s">
        <v>2350</v>
      </c>
      <c r="B784" s="6" t="s">
        <v>2351</v>
      </c>
      <c r="C784" s="5" t="s">
        <v>17</v>
      </c>
      <c r="D784" s="5" t="s">
        <v>2352</v>
      </c>
      <c r="E784" s="3" t="str">
        <f>IFERROR(__xludf.DUMMYFUNCTION("GOOGLETRANSLATE(D784, ""en"", ""zh-tw"")"),"1. 我的目標是提高我的英語能力。 2. 他瞄準靶心射箭。")</f>
        <v>1. 我的目標是提高我的英語能力。 2. 他瞄準靶心射箭。</v>
      </c>
    </row>
    <row r="785">
      <c r="A785" s="5" t="s">
        <v>2353</v>
      </c>
      <c r="B785" s="6" t="s">
        <v>2354</v>
      </c>
      <c r="C785" s="5" t="s">
        <v>7</v>
      </c>
      <c r="D785" s="5" t="s">
        <v>2355</v>
      </c>
      <c r="E785" s="3" t="str">
        <f>IFERROR(__xludf.DUMMYFUNCTION("GOOGLETRANSLATE(D785, ""en"", ""zh-tw"")"),"不要相信網路上那些無稽之談。")</f>
        <v>不要相信網路上那些無稽之談。</v>
      </c>
    </row>
    <row r="786">
      <c r="A786" s="5" t="s">
        <v>2356</v>
      </c>
      <c r="B786" s="6" t="s">
        <v>2357</v>
      </c>
      <c r="C786" s="5" t="s">
        <v>7</v>
      </c>
      <c r="D786" s="5" t="s">
        <v>2358</v>
      </c>
      <c r="E786" s="3" t="str">
        <f>IFERROR(__xludf.DUMMYFUNCTION("GOOGLETRANSLATE(D786, ""en"", ""zh-tw"")"),"1. 我吃太多後胃痛。 2. 我無法容忍那種行為。")</f>
        <v>1. 我吃太多後胃痛。 2. 我無法容忍那種行為。</v>
      </c>
    </row>
    <row r="787">
      <c r="A787" s="5" t="s">
        <v>2359</v>
      </c>
      <c r="B787" s="6" t="s">
        <v>2360</v>
      </c>
      <c r="C787" s="5" t="s">
        <v>7</v>
      </c>
      <c r="D787" s="5" t="s">
        <v>2361</v>
      </c>
      <c r="E787" s="3" t="str">
        <f>IFERROR(__xludf.DUMMYFUNCTION("GOOGLETRANSLATE(D787, ""en"", ""zh-tw"")"),"1. 飛機開始緩緩下降。 2. 她小心翼翼地走下樓梯。 3. 他出身於皇室家族。 4. 房間裡一片寂靜。")</f>
        <v>1. 飛機開始緩緩下降。 2. 她小心翼翼地走下樓梯。 3. 他出身於皇室家族。 4. 房間裡一片寂靜。</v>
      </c>
    </row>
    <row r="788">
      <c r="A788" s="5" t="s">
        <v>2362</v>
      </c>
      <c r="B788" s="6" t="s">
        <v>2363</v>
      </c>
      <c r="C788" s="5" t="s">
        <v>7</v>
      </c>
      <c r="D788" s="5" t="s">
        <v>2364</v>
      </c>
      <c r="E788" s="3" t="str">
        <f>IFERROR(__xludf.DUMMYFUNCTION("GOOGLETRANSLATE(D788, ""en"", ""zh-tw"")"),"旅途中他背著一個笨重的背包。")</f>
        <v>旅途中他背著一個笨重的背包。</v>
      </c>
    </row>
    <row r="789">
      <c r="A789" s="5" t="s">
        <v>2365</v>
      </c>
      <c r="B789" s="6" t="s">
        <v>2366</v>
      </c>
      <c r="C789" s="5" t="s">
        <v>7</v>
      </c>
      <c r="D789" s="5" t="s">
        <v>2367</v>
      </c>
      <c r="E789" s="3" t="str">
        <f>IFERROR(__xludf.DUMMYFUNCTION("GOOGLETRANSLATE(D789, ""en"", ""zh-tw"")"),"1. 十個學生中有九個通過了考試。 2. 十次裡有九次他都會提早到達。")</f>
        <v>1. 十個學生中有九個通過了考試。 2. 十次裡有九次他都會提早到達。</v>
      </c>
    </row>
    <row r="790">
      <c r="A790" s="5" t="s">
        <v>2368</v>
      </c>
      <c r="B790" s="6" t="s">
        <v>2369</v>
      </c>
      <c r="C790" s="5" t="s">
        <v>17</v>
      </c>
      <c r="D790" s="5" t="s">
        <v>2370</v>
      </c>
      <c r="E790" s="3" t="str">
        <f>IFERROR(__xludf.DUMMYFUNCTION("GOOGLETRANSLATE(D790, ""en"", ""zh-tw"")"),"1. 他靠在牆上等待。 2. 他經常鍛煉，所以身材精瘦。 3. 這家公司採用​​精實管理模式營運。")</f>
        <v>1. 他靠在牆上等待。 2. 他經常鍛煉，所以身材精瘦。 3. 這家公司採用​​精實管理模式營運。</v>
      </c>
    </row>
    <row r="791">
      <c r="A791" s="5" t="s">
        <v>2371</v>
      </c>
      <c r="B791" s="6" t="s">
        <v>2372</v>
      </c>
      <c r="C791" s="5" t="s">
        <v>7</v>
      </c>
      <c r="D791" s="5" t="s">
        <v>2373</v>
      </c>
      <c r="E791" s="3" t="str">
        <f>IFERROR(__xludf.DUMMYFUNCTION("GOOGLETRANSLATE(D791, ""en"", ""zh-tw"")"),"1. 地震後，那堵老牆開始崩塌。 2. 她把麵包掰成小塊。 3. 蘋果酥是一種很受歡迎的甜點。")</f>
        <v>1. 地震後，那堵老牆開始崩塌。 2. 她把麵包掰成小塊。 3. 蘋果酥是一種很受歡迎的甜點。</v>
      </c>
    </row>
    <row r="792">
      <c r="A792" s="5" t="s">
        <v>2374</v>
      </c>
      <c r="B792" s="6" t="s">
        <v>2375</v>
      </c>
      <c r="C792" s="5" t="s">
        <v>17</v>
      </c>
      <c r="D792" s="5" t="s">
        <v>2376</v>
      </c>
      <c r="E792" s="3" t="str">
        <f>IFERROR(__xludf.DUMMYFUNCTION("GOOGLETRANSLATE(D792, ""en"", ""zh-tw"")"),"她正在上網尋找旅遊資訊。")</f>
        <v>她正在上網尋找旅遊資訊。</v>
      </c>
    </row>
    <row r="793">
      <c r="A793" s="5" t="s">
        <v>2377</v>
      </c>
      <c r="B793" s="6" t="s">
        <v>2378</v>
      </c>
      <c r="C793" s="5" t="s">
        <v>17</v>
      </c>
      <c r="D793" s="5" t="s">
        <v>2379</v>
      </c>
      <c r="E793" s="3" t="str">
        <f>IFERROR(__xludf.DUMMYFUNCTION("GOOGLETRANSLATE(D793, ""en"", ""zh-tw"")"),"1. 他學的是工程學，結果卻當了老師。 2. 如果你現在不走，可能就趕不上火車了。")</f>
        <v>1. 他學的是工程學，結果卻當了老師。 2. 如果你現在不走，可能就趕不上火車了。</v>
      </c>
    </row>
    <row r="794">
      <c r="A794" s="5" t="s">
        <v>2380</v>
      </c>
      <c r="B794" s="6" t="s">
        <v>2381</v>
      </c>
      <c r="C794" s="5" t="s">
        <v>17</v>
      </c>
      <c r="D794" s="5" t="s">
        <v>2382</v>
      </c>
      <c r="E794" s="3" t="str">
        <f>IFERROR(__xludf.DUMMYFUNCTION("GOOGLETRANSLATE(D794, ""en"", ""zh-tw"")"),"1. 我剛做完作業。 2. 這只是個玩笑。 3. 這件襯衫很適合你。 4. 法官做出了公正的判決。")</f>
        <v>1. 我剛做完作業。 2. 這只是個玩笑。 3. 這件襯衫很適合你。 4. 法官做出了公正的判決。</v>
      </c>
    </row>
    <row r="795">
      <c r="A795" s="5" t="s">
        <v>2383</v>
      </c>
      <c r="B795" s="6" t="s">
        <v>2384</v>
      </c>
      <c r="C795" s="5" t="s">
        <v>17</v>
      </c>
      <c r="D795" s="5" t="s">
        <v>2385</v>
      </c>
      <c r="E795" s="3" t="str">
        <f>IFERROR(__xludf.DUMMYFUNCTION("GOOGLETRANSLATE(D795, ""en"", ""zh-tw"")"),"1. 那真是個愚蠢的錯誤。 2. 我們整晚都在胡鬧，笑個不停。")</f>
        <v>1. 那真是個愚蠢的錯誤。 2. 我們整晚都在胡鬧，笑個不停。</v>
      </c>
    </row>
    <row r="796">
      <c r="A796" s="5" t="s">
        <v>2386</v>
      </c>
      <c r="B796" s="6" t="s">
        <v>2387</v>
      </c>
      <c r="C796" s="5" t="s">
        <v>7</v>
      </c>
      <c r="D796" s="5" t="s">
        <v>2388</v>
      </c>
      <c r="E796" s="3" t="str">
        <f>IFERROR(__xludf.DUMMYFUNCTION("GOOGLETRANSLATE(D796, ""en"", ""zh-tw"")"),"1. 我游泳時腿抽筋了。 2. 這張小桌子限制了我的行動。")</f>
        <v>1. 我游泳時腿抽筋了。 2. 這張小桌子限制了我的行動。</v>
      </c>
    </row>
    <row r="797">
      <c r="A797" s="5" t="s">
        <v>2389</v>
      </c>
      <c r="B797" s="6" t="s">
        <v>2390</v>
      </c>
      <c r="C797" s="5" t="s">
        <v>7</v>
      </c>
      <c r="D797" s="5" t="s">
        <v>2391</v>
      </c>
      <c r="E797" s="3" t="str">
        <f>IFERROR(__xludf.DUMMYFUNCTION("GOOGLETRANSLATE(D797, ""en"", ""zh-tw"")"),"上課的時候我一直在走神。")</f>
        <v>上課的時候我一直在走神。</v>
      </c>
    </row>
    <row r="798">
      <c r="A798" s="5" t="s">
        <v>2392</v>
      </c>
      <c r="B798" s="6" t="s">
        <v>2393</v>
      </c>
      <c r="C798" s="5" t="s">
        <v>7</v>
      </c>
      <c r="D798" s="5" t="s">
        <v>2394</v>
      </c>
      <c r="E798" s="3" t="str">
        <f>IFERROR(__xludf.DUMMYFUNCTION("GOOGLETRANSLATE(D798, ""en"", ""zh-tw"")"),"1. 他被指控為變態。 2. 權力會扭曲人們的判斷力。")</f>
        <v>1. 他被指控為變態。 2. 權力會扭曲人們的判斷力。</v>
      </c>
    </row>
    <row r="799">
      <c r="A799" s="5" t="s">
        <v>2395</v>
      </c>
      <c r="B799" s="6" t="s">
        <v>2396</v>
      </c>
      <c r="C799" s="5" t="s">
        <v>17</v>
      </c>
      <c r="D799" s="5" t="s">
        <v>2397</v>
      </c>
      <c r="E799" s="3" t="str">
        <f>IFERROR(__xludf.DUMMYFUNCTION("GOOGLETRANSLATE(D799, ""en"", ""zh-tw"")"),"我看到他正盯著那個穿紅裙子的女人。")</f>
        <v>我看到他正盯著那個穿紅裙子的女人。</v>
      </c>
    </row>
    <row r="800">
      <c r="A800" s="5" t="s">
        <v>2398</v>
      </c>
      <c r="B800" s="6" t="s">
        <v>2399</v>
      </c>
      <c r="C800" s="5" t="s">
        <v>17</v>
      </c>
      <c r="D800" s="5" t="s">
        <v>2400</v>
      </c>
      <c r="E800" s="3" t="str">
        <f>IFERROR(__xludf.DUMMYFUNCTION("GOOGLETRANSLATE(D800, ""en"", ""zh-tw"")"),"1. 我勸他去看醫生。 2. 我突然很想吃巧克力。")</f>
        <v>1. 我勸他去看醫生。 2. 我突然很想吃巧克力。</v>
      </c>
    </row>
    <row r="801">
      <c r="A801" s="5" t="s">
        <v>2401</v>
      </c>
      <c r="B801" s="6" t="s">
        <v>2402</v>
      </c>
      <c r="C801" s="5" t="s">
        <v>17</v>
      </c>
      <c r="D801" s="5" t="s">
        <v>2403</v>
      </c>
      <c r="E801" s="3" t="str">
        <f>IFERROR(__xludf.DUMMYFUNCTION("GOOGLETRANSLATE(D801, ""en"", ""zh-tw"")"),"老師斥責了遲到的學生。")</f>
        <v>老師斥責了遲到的學生。</v>
      </c>
    </row>
    <row r="802">
      <c r="A802" s="5" t="s">
        <v>2404</v>
      </c>
      <c r="B802" s="6" t="s">
        <v>2405</v>
      </c>
      <c r="C802" s="5" t="s">
        <v>7</v>
      </c>
      <c r="D802" s="5" t="s">
        <v>2406</v>
      </c>
      <c r="E802" s="3" t="str">
        <f>IFERROR(__xludf.DUMMYFUNCTION("GOOGLETRANSLATE(D802, ""en"", ""zh-tw"")"),"我有點餓了。")</f>
        <v>我有點餓了。</v>
      </c>
    </row>
    <row r="803">
      <c r="A803" s="5" t="s">
        <v>2407</v>
      </c>
      <c r="B803" s="6" t="s">
        <v>2408</v>
      </c>
      <c r="C803" s="5" t="s">
        <v>7</v>
      </c>
      <c r="D803" s="5" t="s">
        <v>2409</v>
      </c>
      <c r="E803" s="3" t="str">
        <f>IFERROR(__xludf.DUMMYFUNCTION("GOOGLETRANSLATE(D803, ""en"", ""zh-tw"")"),"1. 他離開辦公桌去接電話。 2. 請遠離機器。")</f>
        <v>1. 他離開辦公桌去接電話。 2. 請遠離機器。</v>
      </c>
    </row>
    <row r="804">
      <c r="A804" s="5" t="s">
        <v>2410</v>
      </c>
      <c r="B804" s="6" t="s">
        <v>2411</v>
      </c>
      <c r="C804" s="5" t="s">
        <v>17</v>
      </c>
      <c r="D804" s="5" t="s">
        <v>2412</v>
      </c>
      <c r="E804" s="3" t="str">
        <f>IFERROR(__xludf.DUMMYFUNCTION("GOOGLETRANSLATE(D804, ""en"", ""zh-tw"")"),"1. 雖然下著雨，我們還是出去了。 2. 我喜歡他。不過他有點嚴厲。")</f>
        <v>1. 雖然下著雨，我們還是出去了。 2. 我喜歡他。不過他有點嚴厲。</v>
      </c>
    </row>
    <row r="805">
      <c r="A805" s="5" t="s">
        <v>2413</v>
      </c>
      <c r="B805" s="6" t="s">
        <v>2414</v>
      </c>
      <c r="C805" s="5" t="s">
        <v>7</v>
      </c>
      <c r="D805" s="5" t="s">
        <v>2415</v>
      </c>
      <c r="E805" s="3" t="str">
        <f>IFERROR(__xludf.DUMMYFUNCTION("GOOGLETRANSLATE(D805, ""en"", ""zh-tw"")"),"1. 種子隨風飄散。 2. 人群被警察驅散了。")</f>
        <v>1. 種子隨風飄散。 2. 人群被警察驅散了。</v>
      </c>
    </row>
    <row r="806">
      <c r="A806" s="5" t="s">
        <v>2416</v>
      </c>
      <c r="B806" s="6" t="s">
        <v>2417</v>
      </c>
      <c r="C806" s="5" t="s">
        <v>7</v>
      </c>
      <c r="D806" s="5" t="s">
        <v>2418</v>
      </c>
      <c r="E806" s="3" t="str">
        <f>IFERROR(__xludf.DUMMYFUNCTION("GOOGLETRANSLATE(D806, ""en"", ""zh-tw"")"),"她猶豫著不敢在全班同學面前發言。")</f>
        <v>她猶豫著不敢在全班同學面前發言。</v>
      </c>
    </row>
    <row r="807">
      <c r="A807" s="5" t="s">
        <v>2419</v>
      </c>
      <c r="B807" s="6" t="s">
        <v>2420</v>
      </c>
      <c r="C807" s="5" t="s">
        <v>17</v>
      </c>
      <c r="D807" s="5" t="s">
        <v>2421</v>
      </c>
      <c r="E807" s="3" t="str">
        <f>IFERROR(__xludf.DUMMYFUNCTION("GOOGLETRANSLATE(D807, ""en"", ""zh-tw"")"),"1. 你襯衫上有一塊污漬。 2. 這裡是觀賞日落的好地方。 3. 我在人群中看到了我的朋友。")</f>
        <v>1. 你襯衫上有一塊污漬。 2. 這裡是觀賞日落的好地方。 3. 我在人群中看到了我的朋友。</v>
      </c>
    </row>
    <row r="808">
      <c r="A808" s="5" t="s">
        <v>2422</v>
      </c>
      <c r="B808" s="6" t="s">
        <v>2423</v>
      </c>
      <c r="C808" s="5" t="s">
        <v>7</v>
      </c>
      <c r="D808" s="5" t="s">
        <v>2424</v>
      </c>
      <c r="E808" s="3" t="str">
        <f>IFERROR(__xludf.DUMMYFUNCTION("GOOGLETRANSLATE(D808, ""en"", ""zh-tw"")"),"1. 他拿了杯飲料，真體貼。 2. 她若有所思地坐著，望著窗外。")</f>
        <v>1. 他拿了杯飲料，真體貼。 2. 她若有所思地坐著，望著窗外。</v>
      </c>
    </row>
    <row r="809">
      <c r="A809" s="5" t="s">
        <v>2425</v>
      </c>
      <c r="B809" s="6" t="s">
        <v>2426</v>
      </c>
      <c r="C809" s="5" t="s">
        <v>279</v>
      </c>
      <c r="D809" s="5" t="s">
        <v>2427</v>
      </c>
      <c r="E809" s="3" t="str">
        <f>IFERROR(__xludf.DUMMYFUNCTION("GOOGLETRANSLATE(D809, ""en"", ""zh-tw"")"),"會議期間，他悄悄離開了房間。")</f>
        <v>會議期間，他悄悄離開了房間。</v>
      </c>
    </row>
    <row r="810">
      <c r="A810" s="5" t="s">
        <v>2428</v>
      </c>
      <c r="B810" s="6" t="s">
        <v>2429</v>
      </c>
      <c r="C810" s="5" t="s">
        <v>7</v>
      </c>
      <c r="D810" s="5" t="s">
        <v>2430</v>
      </c>
      <c r="E810" s="3" t="str">
        <f>IFERROR(__xludf.DUMMYFUNCTION("GOOGLETRANSLATE(D810, ""en"", ""zh-tw"")"),"1. 老虎是兇猛的掠食者。 2. 這份工作的競爭非常激烈。")</f>
        <v>1. 老虎是兇猛的掠食者。 2. 這份工作的競爭非常激烈。</v>
      </c>
    </row>
    <row r="811">
      <c r="A811" s="5" t="s">
        <v>2431</v>
      </c>
      <c r="B811" s="6" t="s">
        <v>2432</v>
      </c>
      <c r="C811" s="5" t="s">
        <v>7</v>
      </c>
      <c r="D811" s="5" t="s">
        <v>2433</v>
      </c>
      <c r="E811" s="3" t="str">
        <f>IFERROR(__xludf.DUMMYFUNCTION("GOOGLETRANSLATE(D811, ""en"", ""zh-tw"")"),"1. 存在土地所有權糾紛。 2. 我並不否認你的觀點，但我有不同的看法。")</f>
        <v>1. 存在土地所有權糾紛。 2. 我並不否認你的觀點，但我有不同的看法。</v>
      </c>
    </row>
    <row r="812">
      <c r="A812" s="5" t="s">
        <v>2434</v>
      </c>
      <c r="B812" s="6" t="s">
        <v>2435</v>
      </c>
      <c r="C812" s="5" t="s">
        <v>17</v>
      </c>
      <c r="D812" s="5" t="s">
        <v>2436</v>
      </c>
      <c r="E812" s="3" t="str">
        <f>IFERROR(__xludf.DUMMYFUNCTION("GOOGLETRANSLATE(D812, ""en"", ""zh-tw"")"),"他作為團隊成員加入了該專案。")</f>
        <v>他作為團隊成員加入了該專案。</v>
      </c>
    </row>
    <row r="813">
      <c r="A813" s="5" t="s">
        <v>2437</v>
      </c>
      <c r="B813" s="6" t="s">
        <v>2438</v>
      </c>
      <c r="C813" s="5" t="s">
        <v>7</v>
      </c>
      <c r="D813" s="5" t="s">
        <v>2439</v>
      </c>
      <c r="E813" s="3" t="str">
        <f>IFERROR(__xludf.DUMMYFUNCTION("GOOGLETRANSLATE(D813, ""en"", ""zh-tw"")"),"1. 他在這家公司有股份。 2. 這場比賽的賭注非常高。 3. 他們把一根木樁打入了地裡。 4. 他把所有的錢都押在這項生意上了。")</f>
        <v>1. 他在這家公司有股份。 2. 這場比賽的賭注非常高。 3. 他們把一根木樁打入了地裡。 4. 他把所有的錢都押在這項生意上了。</v>
      </c>
    </row>
    <row r="814">
      <c r="A814" s="5" t="s">
        <v>2440</v>
      </c>
      <c r="B814" s="6" t="s">
        <v>2441</v>
      </c>
      <c r="C814" s="5" t="s">
        <v>7</v>
      </c>
      <c r="D814" s="5" t="s">
        <v>2442</v>
      </c>
      <c r="E814" s="3" t="str">
        <f>IFERROR(__xludf.DUMMYFUNCTION("GOOGLETRANSLATE(D814, ""en"", ""zh-tw"")"),"該公司對其政策進行了重大調整。")</f>
        <v>該公司對其政策進行了重大調整。</v>
      </c>
    </row>
    <row r="815">
      <c r="A815" s="5" t="s">
        <v>2443</v>
      </c>
      <c r="B815" s="6" t="s">
        <v>2444</v>
      </c>
      <c r="C815" s="5" t="s">
        <v>17</v>
      </c>
      <c r="D815" s="5" t="s">
        <v>2445</v>
      </c>
      <c r="E815" s="3" t="str">
        <f>IFERROR(__xludf.DUMMYFUNCTION("GOOGLETRANSLATE(D815, ""en"", ""zh-tw"")"),"1. 該項目規模擴大了。 2. 地圖是按比例繪製的。 3. 這條魚的鱗片閃閃發光。 4. 他們去年登上了那座山。")</f>
        <v>1. 該項目規模擴大了。 2. 地圖是按比例繪製的。 3. 這條魚的鱗片閃閃發光。 4. 他們去年登上了那座山。</v>
      </c>
    </row>
    <row r="816">
      <c r="A816" s="5" t="s">
        <v>2446</v>
      </c>
      <c r="B816" s="6" t="s">
        <v>2447</v>
      </c>
      <c r="C816" s="5" t="s">
        <v>7</v>
      </c>
      <c r="D816" s="5" t="s">
        <v>2448</v>
      </c>
      <c r="E816" s="3" t="str">
        <f>IFERROR(__xludf.DUMMYFUNCTION("GOOGLETRANSLATE(D816, ""en"", ""zh-tw"")"),"1. 政府正努力減少該市的暴力事件。 2. 這場風暴帶來了巨大的破壞。")</f>
        <v>1. 政府正努力減少該市的暴力事件。 2. 這場風暴帶來了巨大的破壞。</v>
      </c>
    </row>
    <row r="817">
      <c r="A817" s="5" t="s">
        <v>2449</v>
      </c>
      <c r="B817" s="6" t="s">
        <v>2450</v>
      </c>
      <c r="C817" s="5" t="s">
        <v>7</v>
      </c>
      <c r="D817" s="5" t="s">
        <v>2451</v>
      </c>
      <c r="E817" s="3" t="str">
        <f>IFERROR(__xludf.DUMMYFUNCTION("GOOGLETRANSLATE(D817, ""en"", ""zh-tw"")"),"1. 假期期間，我們住在海濱度假村。 2. 暴力應該是最後的手段。 3. 他為了避免麻煩而說謊。")</f>
        <v>1. 假期期間，我們住在海濱度假村。 2. 暴力應該是最後的手段。 3. 他為了避免麻煩而說謊。</v>
      </c>
    </row>
    <row r="818">
      <c r="A818" s="5" t="s">
        <v>2452</v>
      </c>
      <c r="B818" s="6" t="s">
        <v>2453</v>
      </c>
      <c r="C818" s="5" t="s">
        <v>7</v>
      </c>
      <c r="D818" s="5" t="s">
        <v>2454</v>
      </c>
      <c r="E818" s="3" t="str">
        <f>IFERROR(__xludf.DUMMYFUNCTION("GOOGLETRANSLATE(D818, ""en"", ""zh-tw"")"),"1. 他們在派對上調情。 2. 她指責他和其他女孩調情。")</f>
        <v>1. 他們在派對上調情。 2. 她指責他和其他女孩調情。</v>
      </c>
    </row>
    <row r="819">
      <c r="A819" s="5" t="s">
        <v>2455</v>
      </c>
      <c r="B819" s="6" t="s">
        <v>2456</v>
      </c>
      <c r="C819" s="5" t="s">
        <v>7</v>
      </c>
      <c r="D819" s="5" t="s">
        <v>2457</v>
      </c>
      <c r="E819" s="3" t="str">
        <f>IFERROR(__xludf.DUMMYFUNCTION("GOOGLETRANSLATE(D819, ""en"", ""zh-tw"")"),"房間有點冷。")</f>
        <v>房間有點冷。</v>
      </c>
    </row>
    <row r="820">
      <c r="A820" s="5" t="s">
        <v>2458</v>
      </c>
      <c r="B820" s="6" t="s">
        <v>2459</v>
      </c>
      <c r="C820" s="5" t="s">
        <v>279</v>
      </c>
      <c r="D820" s="5" t="s">
        <v>2460</v>
      </c>
      <c r="E820" s="3" t="str">
        <f>IFERROR(__xludf.DUMMYFUNCTION("GOOGLETRANSLATE(D820, ""en"", ""zh-tw"")"),"您能就此話題給我講解一下嗎？")</f>
        <v>您能就此話題給我講解一下嗎？</v>
      </c>
    </row>
    <row r="821">
      <c r="A821" s="5" t="s">
        <v>2461</v>
      </c>
      <c r="B821" s="6" t="s">
        <v>2462</v>
      </c>
      <c r="C821" s="5" t="s">
        <v>279</v>
      </c>
      <c r="D821" s="5" t="s">
        <v>2463</v>
      </c>
      <c r="E821" s="3" t="str">
        <f>IFERROR(__xludf.DUMMYFUNCTION("GOOGLETRANSLATE(D821, ""en"", ""zh-tw"")"),"1. 他工作了12個小時後，幾乎筋疲力盡。 2. 資源枯竭是一個嚴重的問題。")</f>
        <v>1. 他工作了12個小時後，幾乎筋疲力盡。 2. 資源枯竭是一個嚴重的問題。</v>
      </c>
    </row>
    <row r="822">
      <c r="A822" s="5" t="s">
        <v>2464</v>
      </c>
      <c r="B822" s="6" t="s">
        <v>2465</v>
      </c>
      <c r="C822" s="5" t="s">
        <v>7</v>
      </c>
      <c r="D822" s="5" t="s">
        <v>2466</v>
      </c>
      <c r="E822" s="3" t="str">
        <f>IFERROR(__xludf.DUMMYFUNCTION("GOOGLETRANSLATE(D822, ""en"", ""zh-tw"")"),"1. 我後悔沒有更努力學習。 2. 他對自己說過的話表示後悔。")</f>
        <v>1. 我後悔沒有更努力學習。 2. 他對自己說過的話表示後悔。</v>
      </c>
    </row>
    <row r="823">
      <c r="A823" s="5" t="s">
        <v>2467</v>
      </c>
      <c r="B823" s="6" t="s">
        <v>2468</v>
      </c>
      <c r="C823" s="5" t="s">
        <v>7</v>
      </c>
      <c r="D823" s="5" t="s">
        <v>2469</v>
      </c>
      <c r="E823" s="3" t="str">
        <f>IFERROR(__xludf.DUMMYFUNCTION("GOOGLETRANSLATE(D823, ""en"", ""zh-tw"")"),"1. 她對家人有著深厚的感情。 2. 孩子對小狗表現出了喜愛。")</f>
        <v>1. 她對家人有著深厚的感情。 2. 孩子對小狗表現出了喜愛。</v>
      </c>
    </row>
    <row r="824">
      <c r="A824" s="5" t="s">
        <v>2470</v>
      </c>
      <c r="B824" s="6" t="s">
        <v>2471</v>
      </c>
      <c r="C824" s="5" t="s">
        <v>7</v>
      </c>
      <c r="D824" s="5" t="s">
        <v>2472</v>
      </c>
      <c r="E824" s="3" t="str">
        <f>IFERROR(__xludf.DUMMYFUNCTION("GOOGLETRANSLATE(D824, ""en"", ""zh-tw"")"),"旅行結束後，他好好休息了一番。")</f>
        <v>旅行結束後，他好好休息了一番。</v>
      </c>
    </row>
    <row r="825">
      <c r="A825" s="5" t="s">
        <v>2473</v>
      </c>
      <c r="B825" s="6" t="s">
        <v>2474</v>
      </c>
      <c r="C825" s="5" t="s">
        <v>7</v>
      </c>
      <c r="D825" s="5" t="s">
        <v>2475</v>
      </c>
      <c r="E825" s="3" t="str">
        <f>IFERROR(__xludf.DUMMYFUNCTION("GOOGLETRANSLATE(D825, ""en"", ""zh-tw"")"),"他當之無愧地獲得了這個獎項。")</f>
        <v>他當之無愧地獲得了這個獎項。</v>
      </c>
    </row>
    <row r="826">
      <c r="A826" s="5" t="s">
        <v>2476</v>
      </c>
      <c r="B826" s="6" t="s">
        <v>2477</v>
      </c>
      <c r="C826" s="5" t="s">
        <v>7</v>
      </c>
      <c r="D826" s="5" t="s">
        <v>2478</v>
      </c>
      <c r="E826" s="3" t="str">
        <f>IFERROR(__xludf.DUMMYFUNCTION("GOOGLETRANSLATE(D826, ""en"", ""zh-tw"")"),"1. 他絆倒了，從樓梯上摔了下來。 2. 消息傳出後，股價暴跌。 3. 她滑雪時摔了一跤。")</f>
        <v>1. 他絆倒了，從樓梯上摔了下來。 2. 消息傳出後，股價暴跌。 3. 她滑雪時摔了一跤。</v>
      </c>
    </row>
    <row r="827">
      <c r="A827" s="5" t="s">
        <v>2479</v>
      </c>
      <c r="B827" s="6" t="s">
        <v>2480</v>
      </c>
      <c r="C827" s="5" t="s">
        <v>279</v>
      </c>
      <c r="D827" s="5" t="s">
        <v>2481</v>
      </c>
      <c r="E827" s="3" t="str">
        <f>IFERROR(__xludf.DUMMYFUNCTION("GOOGLETRANSLATE(D827, ""en"", ""zh-tw"")"),"她完全沉浸在工作中。")</f>
        <v>她完全沉浸在工作中。</v>
      </c>
    </row>
    <row r="828">
      <c r="A828" s="5" t="s">
        <v>2482</v>
      </c>
      <c r="B828" s="6" t="s">
        <v>2483</v>
      </c>
      <c r="C828" s="5" t="s">
        <v>279</v>
      </c>
      <c r="D828" s="5" t="s">
        <v>2484</v>
      </c>
      <c r="E828" s="3" t="str">
        <f>IFERROR(__xludf.DUMMYFUNCTION("GOOGLETRANSLATE(D828, ""en"", ""zh-tw"")"),"將植物浸入水中進行測試。")</f>
        <v>將植物浸入水中進行測試。</v>
      </c>
    </row>
    <row r="829">
      <c r="A829" s="5" t="s">
        <v>2485</v>
      </c>
      <c r="B829" s="6" t="s">
        <v>2486</v>
      </c>
      <c r="C829" s="5" t="s">
        <v>7</v>
      </c>
      <c r="D829" s="5" t="s">
        <v>2487</v>
      </c>
      <c r="E829" s="3" t="str">
        <f>IFERROR(__xludf.DUMMYFUNCTION("GOOGLETRANSLATE(D829, ""en"", ""zh-tw"")"),"她接受了女王般的禮遇。")</f>
        <v>她接受了女王般的禮遇。</v>
      </c>
    </row>
    <row r="830">
      <c r="A830" s="5" t="s">
        <v>2488</v>
      </c>
      <c r="B830" s="6" t="s">
        <v>2489</v>
      </c>
      <c r="C830" s="5" t="s">
        <v>279</v>
      </c>
      <c r="D830" s="5" t="s">
        <v>2490</v>
      </c>
      <c r="E830" s="3" t="str">
        <f>IFERROR(__xludf.DUMMYFUNCTION("GOOGLETRANSLATE(D830, ""en"", ""zh-tw"")"),"1. 薯條太油膩了。 2. 他露出了一個油膩的笑容。")</f>
        <v>1. 薯條太油膩了。 2. 他露出了一個油膩的笑容。</v>
      </c>
    </row>
    <row r="831">
      <c r="A831" s="5" t="s">
        <v>2491</v>
      </c>
      <c r="B831" s="6" t="s">
        <v>2492</v>
      </c>
      <c r="C831" s="5" t="s">
        <v>7</v>
      </c>
      <c r="D831" s="5" t="s">
        <v>2493</v>
      </c>
      <c r="E831" s="3" t="str">
        <f>IFERROR(__xludf.DUMMYFUNCTION("GOOGLETRANSLATE(D831, ""en"", ""zh-tw"")"),"1. 吃太多東西後，我覺得肚子脹脹的。 2. 這家公司結構臃腫。")</f>
        <v>1. 吃太多東西後，我覺得肚子脹脹的。 2. 這家公司結構臃腫。</v>
      </c>
    </row>
    <row r="832">
      <c r="A832" s="5" t="s">
        <v>2494</v>
      </c>
      <c r="B832" s="6" t="s">
        <v>2495</v>
      </c>
      <c r="C832" s="5" t="s">
        <v>7</v>
      </c>
      <c r="D832" s="5" t="s">
        <v>2496</v>
      </c>
      <c r="E832" s="3" t="str">
        <f>IFERROR(__xludf.DUMMYFUNCTION("GOOGLETRANSLATE(D832, ""en"", ""zh-tw"")"),"1. 她贏得了歌唱比賽。 2. 多位候選人正在競選。 3. 他對考試結果提出了質疑。")</f>
        <v>1. 她贏得了歌唱比賽。 2. 多位候選人正在競選。 3. 他對考試結果提出了質疑。</v>
      </c>
    </row>
    <row r="833">
      <c r="A833" s="5" t="s">
        <v>2497</v>
      </c>
      <c r="B833" s="6" t="s">
        <v>2498</v>
      </c>
      <c r="C833" s="5" t="s">
        <v>7</v>
      </c>
      <c r="D833" s="5" t="s">
        <v>2499</v>
      </c>
      <c r="E833" s="3" t="str">
        <f>IFERROR(__xludf.DUMMYFUNCTION("GOOGLETRANSLATE(D833, ""en"", ""zh-tw"")"),"1. 他側身讓她過去。 2. 不開玩笑，這是個嚴肅的問題。 3. 他在演出期間插話。")</f>
        <v>1. 他側身讓她過去。 2. 不開玩笑，這是個嚴肅的問題。 3. 他在演出期間插話。</v>
      </c>
    </row>
    <row r="834">
      <c r="A834" s="5" t="s">
        <v>2500</v>
      </c>
      <c r="B834" s="6" t="s">
        <v>2501</v>
      </c>
      <c r="C834" s="5" t="s">
        <v>17</v>
      </c>
      <c r="D834" s="5" t="s">
        <v>2502</v>
      </c>
      <c r="E834" s="3" t="str">
        <f>IFERROR(__xludf.DUMMYFUNCTION("GOOGLETRANSLATE(D834, ""en"", ""zh-tw"")"),"1. 他們總是拿他的髮型開玩笑。 2. 預告片透露了電影的結局。 3. 他只是個愛開玩笑的友善人士。")</f>
        <v>1. 他們總是拿他的髮型開玩笑。 2. 預告片透露了電影的結局。 3. 他只是個愛開玩笑的友善人士。</v>
      </c>
    </row>
    <row r="835">
      <c r="A835" s="5" t="s">
        <v>2503</v>
      </c>
      <c r="B835" s="6" t="s">
        <v>2504</v>
      </c>
      <c r="C835" s="5" t="s">
        <v>7</v>
      </c>
      <c r="D835" s="5" t="s">
        <v>2505</v>
      </c>
      <c r="E835" s="3" t="str">
        <f>IFERROR(__xludf.DUMMYFUNCTION("GOOGLETRANSLATE(D835, ""en"", ""zh-tw"")"),"1. 他打算自己創業。 2. 她沒有說謊的意圖。")</f>
        <v>1. 他打算自己創業。 2. 她沒有說謊的意圖。</v>
      </c>
    </row>
    <row r="836">
      <c r="A836" s="5" t="s">
        <v>2506</v>
      </c>
      <c r="B836" s="6" t="s">
        <v>2507</v>
      </c>
      <c r="C836" s="5" t="s">
        <v>7</v>
      </c>
      <c r="D836" s="5" t="s">
        <v>2508</v>
      </c>
      <c r="E836" s="3" t="str">
        <f>IFERROR(__xludf.DUMMYFUNCTION("GOOGLETRANSLATE(D836, ""en"", ""zh-tw"")"),"1. 他的論點基於幾個假設。 2. 你在沒有任何證據的情況下做出了假設。")</f>
        <v>1. 他的論點基於幾個假設。 2. 你在沒有任何證據的情況下做出了假設。</v>
      </c>
    </row>
    <row r="837">
      <c r="A837" s="5" t="s">
        <v>2509</v>
      </c>
      <c r="B837" s="6" t="s">
        <v>2510</v>
      </c>
      <c r="C837" s="5" t="s">
        <v>7</v>
      </c>
      <c r="D837" s="5" t="s">
        <v>2511</v>
      </c>
      <c r="E837" s="3" t="str">
        <f>IFERROR(__xludf.DUMMYFUNCTION("GOOGLETRANSLATE(D837, ""en"", ""zh-tw"")"),"1. 她緊緊地抓著包包。 2. 蓋子蓋得很緊。")</f>
        <v>1. 她緊緊地抓著包包。 2. 蓋子蓋得很緊。</v>
      </c>
    </row>
    <row r="838">
      <c r="A838" s="5" t="s">
        <v>2512</v>
      </c>
      <c r="B838" s="6" t="s">
        <v>2513</v>
      </c>
      <c r="C838" s="5" t="s">
        <v>279</v>
      </c>
      <c r="D838" s="5" t="s">
        <v>2514</v>
      </c>
      <c r="E838" s="3" t="str">
        <f>IFERROR(__xludf.DUMMYFUNCTION("GOOGLETRANSLATE(D838, ""en"", ""zh-tw"")"),"老師強調了練習的重要性。")</f>
        <v>老師強調了練習的重要性。</v>
      </c>
    </row>
    <row r="839">
      <c r="A839" s="5" t="s">
        <v>2515</v>
      </c>
      <c r="B839" s="6" t="s">
        <v>2516</v>
      </c>
      <c r="C839" s="5" t="s">
        <v>7</v>
      </c>
      <c r="D839" s="5" t="s">
        <v>2517</v>
      </c>
      <c r="E839" s="3" t="str">
        <f>IFERROR(__xludf.DUMMYFUNCTION("GOOGLETRANSLATE(D839, ""en"", ""zh-tw"")"),"非常感謝您的幫忙。")</f>
        <v>非常感謝您的幫忙。</v>
      </c>
    </row>
    <row r="840">
      <c r="A840" s="5" t="s">
        <v>2518</v>
      </c>
      <c r="B840" s="6" t="s">
        <v>2519</v>
      </c>
      <c r="C840" s="5" t="s">
        <v>7</v>
      </c>
      <c r="D840" s="5" t="s">
        <v>2520</v>
      </c>
      <c r="E840" s="3" t="str">
        <f>IFERROR(__xludf.DUMMYFUNCTION("GOOGLETRANSLATE(D840, ""en"", ""zh-tw"")"),"1. 今年的銷售額下降了。 2. 他的健康狀況正在惡化。 3. 她拒絕了邀約。 4. 人口數有所下降。")</f>
        <v>1. 今年的銷售額下降了。 2. 他的健康狀況正在惡化。 3. 她拒絕了邀約。 4. 人口數有所下降。</v>
      </c>
    </row>
    <row r="841">
      <c r="A841" s="5" t="s">
        <v>2521</v>
      </c>
      <c r="B841" s="6" t="s">
        <v>2522</v>
      </c>
      <c r="C841" s="5" t="s">
        <v>17</v>
      </c>
      <c r="D841" s="5" t="s">
        <v>2523</v>
      </c>
      <c r="E841" s="3" t="str">
        <f>IFERROR(__xludf.DUMMYFUNCTION("GOOGLETRANSLATE(D841, ""en"", ""zh-tw"")"),"1. 飛機安全降落。 2. 兩條線位於同一平面上。 3. 他用刨刀把木頭刨平。")</f>
        <v>1. 飛機安全降落。 2. 兩條線位於同一平面上。 3. 他用刨刀把木頭刨平。</v>
      </c>
    </row>
    <row r="842">
      <c r="A842" s="5" t="s">
        <v>2524</v>
      </c>
      <c r="B842" s="6" t="s">
        <v>2525</v>
      </c>
      <c r="C842" s="5" t="s">
        <v>7</v>
      </c>
      <c r="D842" s="5" t="s">
        <v>2526</v>
      </c>
      <c r="E842" s="3" t="str">
        <f>IFERROR(__xludf.DUMMYFUNCTION("GOOGLETRANSLATE(D842, ""en"", ""zh-tw"")"),"我帶了把傘，以防下雨。")</f>
        <v>我帶了把傘，以防下雨。</v>
      </c>
    </row>
    <row r="843">
      <c r="A843" s="5" t="s">
        <v>2527</v>
      </c>
      <c r="B843" s="6" t="s">
        <v>2528</v>
      </c>
      <c r="C843" s="5" t="s">
        <v>7</v>
      </c>
      <c r="D843" s="5" t="s">
        <v>2529</v>
      </c>
      <c r="E843" s="3" t="str">
        <f>IFERROR(__xludf.DUMMYFUNCTION("GOOGLETRANSLATE(D843, ""en"", ""zh-tw"")"),"1. 顯然，他並不知道這次會面。 2. 她最近似乎非常忙。")</f>
        <v>1. 顯然，他並不知道這次會面。 2. 她最近似乎非常忙。</v>
      </c>
    </row>
    <row r="844">
      <c r="A844" s="5" t="s">
        <v>2530</v>
      </c>
      <c r="B844" s="6" t="s">
        <v>2531</v>
      </c>
      <c r="C844" s="5" t="s">
        <v>17</v>
      </c>
      <c r="D844" s="5" t="s">
        <v>2532</v>
      </c>
      <c r="E844" s="3" t="str">
        <f>IFERROR(__xludf.DUMMYFUNCTION("GOOGLETRANSLATE(D844, ""en"", ""zh-tw"")"),"1. 這純屬巧合。 2. 問題只是一場誤會。")</f>
        <v>1. 這純屬巧合。 2. 問題只是一場誤會。</v>
      </c>
    </row>
    <row r="845">
      <c r="A845" s="5" t="s">
        <v>2533</v>
      </c>
      <c r="B845" s="6" t="s">
        <v>2534</v>
      </c>
      <c r="C845" s="5" t="s">
        <v>7</v>
      </c>
      <c r="D845" s="5" t="s">
        <v>2535</v>
      </c>
      <c r="E845" s="3" t="str">
        <f>IFERROR(__xludf.DUMMYFUNCTION("GOOGLETRANSLATE(D845, ""en"", ""zh-tw"")"),"1. 這是對這位演員的獨家專訪。 2. 這傢俱樂部非常私密。")</f>
        <v>1. 這是對這位演員的獨家專訪。 2. 這傢俱樂部非常私密。</v>
      </c>
    </row>
    <row r="846">
      <c r="A846" s="5" t="s">
        <v>2536</v>
      </c>
      <c r="B846" s="6" t="s">
        <v>2537</v>
      </c>
      <c r="C846" s="5" t="s">
        <v>7</v>
      </c>
      <c r="D846" s="5" t="s">
        <v>2538</v>
      </c>
      <c r="E846" s="3" t="str">
        <f>IFERROR(__xludf.DUMMYFUNCTION("GOOGLETRANSLATE(D846, ""en"", ""zh-tw"")"),"這座橋能承受強風。")</f>
        <v>這座橋能承受強風。</v>
      </c>
    </row>
    <row r="847">
      <c r="A847" s="5" t="s">
        <v>2539</v>
      </c>
      <c r="B847" s="6" t="s">
        <v>2540</v>
      </c>
      <c r="C847" s="5" t="s">
        <v>279</v>
      </c>
      <c r="D847" s="5" t="s">
        <v>2541</v>
      </c>
      <c r="E847" s="3" t="str">
        <f>IFERROR(__xludf.DUMMYFUNCTION("GOOGLETRANSLATE(D847, ""en"", ""zh-tw"")"),"她對學習英語表現出極大的熱情。")</f>
        <v>她對學習英語表現出極大的熱情。</v>
      </c>
    </row>
    <row r="848">
      <c r="A848" s="5" t="s">
        <v>2542</v>
      </c>
      <c r="B848" s="6" t="s">
        <v>2543</v>
      </c>
      <c r="C848" s="5" t="s">
        <v>279</v>
      </c>
      <c r="D848" s="5" t="s">
        <v>2544</v>
      </c>
      <c r="E848" s="3" t="str">
        <f>IFERROR(__xludf.DUMMYFUNCTION("GOOGLETRANSLATE(D848, ""en"", ""zh-tw"")"),"1. 公司重申了對安全的承諾。 2. 她重申了出國留學的決定。")</f>
        <v>1. 公司重申了對安全的承諾。 2. 她重申了出國留學的決定。</v>
      </c>
    </row>
    <row r="849">
      <c r="A849" s="5" t="s">
        <v>2545</v>
      </c>
      <c r="B849" s="6" t="s">
        <v>2546</v>
      </c>
      <c r="C849" s="5" t="s">
        <v>17</v>
      </c>
      <c r="D849" s="5" t="s">
        <v>2547</v>
      </c>
      <c r="E849" s="3" t="str">
        <f>IFERROR(__xludf.DUMMYFUNCTION("GOOGLETRANSLATE(D849, ""en"", ""zh-tw"")"),"1.「我可以開始這個專案了嗎？」—「請便。」2. 請坐。 3.你先開始，我稍後跟上。")</f>
        <v>1.「我可以開始這個專案了嗎？」—「請便。」2. 請坐。 3.你先開始，我稍後跟上。</v>
      </c>
    </row>
    <row r="850">
      <c r="A850" s="5" t="s">
        <v>2548</v>
      </c>
      <c r="B850" s="6" t="s">
        <v>2549</v>
      </c>
      <c r="C850" s="5" t="s">
        <v>17</v>
      </c>
      <c r="D850" s="5" t="s">
        <v>2550</v>
      </c>
      <c r="E850" s="3" t="str">
        <f>IFERROR(__xludf.DUMMYFUNCTION("GOOGLETRANSLATE(D850, ""en"", ""zh-tw"")"),"1. 沒必要大驚小怪。 2. 她整天都在糾結細節。")</f>
        <v>1. 沒必要大驚小怪。 2. 她整天都在糾結細節。</v>
      </c>
    </row>
    <row r="851">
      <c r="A851" s="5" t="s">
        <v>2551</v>
      </c>
      <c r="B851" s="6" t="s">
        <v>2552</v>
      </c>
      <c r="C851" s="5" t="s">
        <v>7</v>
      </c>
      <c r="D851" s="5" t="s">
        <v>2553</v>
      </c>
      <c r="E851" s="3" t="str">
        <f>IFERROR(__xludf.DUMMYFUNCTION("GOOGLETRANSLATE(D851, ""en"", ""zh-tw"")"),"昨天學校發生了一起事件。")</f>
        <v>昨天學校發生了一起事件。</v>
      </c>
    </row>
    <row r="852">
      <c r="A852" s="5" t="s">
        <v>2554</v>
      </c>
      <c r="B852" s="6" t="s">
        <v>2555</v>
      </c>
      <c r="C852" s="5" t="s">
        <v>279</v>
      </c>
      <c r="D852" s="5" t="s">
        <v>2556</v>
      </c>
      <c r="E852" s="3" t="str">
        <f>IFERROR(__xludf.DUMMYFUNCTION("GOOGLETRANSLATE(D852, ""en"", ""zh-tw"")"),"1. 警方對這起犯罪事件展開了調查。 2. 對此問題的調查持續了數月時間。")</f>
        <v>1. 警方對這起犯罪事件展開了調查。 2. 對此問題的調查持續了數月時間。</v>
      </c>
    </row>
    <row r="853">
      <c r="A853" s="5" t="s">
        <v>2557</v>
      </c>
      <c r="B853" s="6" t="s">
        <v>2558</v>
      </c>
      <c r="C853" s="5" t="s">
        <v>7</v>
      </c>
      <c r="D853" s="5" t="s">
        <v>2559</v>
      </c>
      <c r="E853" s="3" t="str">
        <f>IFERROR(__xludf.DUMMYFUNCTION("GOOGLETRANSLATE(D853, ""en"", ""zh-tw"")"),"他無意中傷害了她的感情。")</f>
        <v>他無意中傷害了她的感情。</v>
      </c>
    </row>
    <row r="854">
      <c r="A854" s="5" t="s">
        <v>2560</v>
      </c>
      <c r="B854" s="6" t="s">
        <v>2561</v>
      </c>
      <c r="C854" s="5" t="s">
        <v>7</v>
      </c>
      <c r="D854" s="5" t="s">
        <v>2562</v>
      </c>
      <c r="E854" s="3" t="str">
        <f>IFERROR(__xludf.DUMMYFUNCTION("GOOGLETRANSLATE(D854, ""en"", ""zh-tw"")"),"1. 她忍受了多年的艱辛。 2. 疼痛持續了好幾天。 3. 這座橋經受住了許多風暴的考驗。")</f>
        <v>1. 她忍受了多年的艱辛。 2. 疼痛持續了好幾天。 3. 這座橋經受住了許多風暴的考驗。</v>
      </c>
    </row>
    <row r="855">
      <c r="A855" s="5" t="s">
        <v>2563</v>
      </c>
      <c r="B855" s="6" t="s">
        <v>2564</v>
      </c>
      <c r="C855" s="5" t="s">
        <v>17</v>
      </c>
      <c r="D855" s="5" t="s">
        <v>2565</v>
      </c>
      <c r="E855" s="3" t="str">
        <f>IFERROR(__xludf.DUMMYFUNCTION("GOOGLETRANSLATE(D855, ""en"", ""zh-tw"")"),"1. 你在多大程度上同意？ 2. 問題的嚴重程度仍不清楚。")</f>
        <v>1. 你在多大程度上同意？ 2. 問題的嚴重程度仍不清楚。</v>
      </c>
    </row>
    <row r="856">
      <c r="A856" s="5" t="s">
        <v>2566</v>
      </c>
      <c r="B856" s="6" t="s">
        <v>2567</v>
      </c>
      <c r="C856" s="5" t="s">
        <v>7</v>
      </c>
      <c r="D856" s="5" t="s">
        <v>2568</v>
      </c>
      <c r="E856" s="3" t="str">
        <f>IFERROR(__xludf.DUMMYFUNCTION("GOOGLETRANSLATE(D856, ""en"", ""zh-tw"")"),"她正在為孩子們憧憬一個更美好的未來。")</f>
        <v>她正在為孩子們憧憬一個更美好的未來。</v>
      </c>
    </row>
    <row r="857">
      <c r="A857" s="5" t="s">
        <v>2569</v>
      </c>
      <c r="B857" s="6" t="s">
        <v>2570</v>
      </c>
      <c r="C857" s="5" t="s">
        <v>17</v>
      </c>
      <c r="D857" s="5" t="s">
        <v>2571</v>
      </c>
      <c r="E857" s="3" t="str">
        <f>IFERROR(__xludf.DUMMYFUNCTION("GOOGLETRANSLATE(D857, ""en"", ""zh-tw"")"),"要警惕網路上的陌生人。")</f>
        <v>要警惕網路上的陌生人。</v>
      </c>
    </row>
    <row r="858">
      <c r="A858" s="5" t="s">
        <v>2572</v>
      </c>
      <c r="B858" s="6" t="s">
        <v>2573</v>
      </c>
      <c r="C858" s="5" t="s">
        <v>7</v>
      </c>
      <c r="D858" s="5" t="s">
        <v>2574</v>
      </c>
      <c r="E858" s="3" t="str">
        <f>IFERROR(__xludf.DUMMYFUNCTION("GOOGLETRANSLATE(D858, ""en"", ""zh-tw"")"),"該公司召開記者會，宣布推出新產品。")</f>
        <v>該公司召開記者會，宣布推出新產品。</v>
      </c>
    </row>
    <row r="859">
      <c r="A859" s="5" t="s">
        <v>2575</v>
      </c>
      <c r="B859" s="6" t="s">
        <v>2576</v>
      </c>
      <c r="C859" s="5" t="s">
        <v>7</v>
      </c>
      <c r="D859" s="5" t="s">
        <v>2577</v>
      </c>
      <c r="E859" s="3" t="str">
        <f>IFERROR(__xludf.DUMMYFUNCTION("GOOGLETRANSLATE(D859, ""en"", ""zh-tw"")"),"收銀員打開了收銀機。")</f>
        <v>收銀員打開了收銀機。</v>
      </c>
    </row>
    <row r="860">
      <c r="A860" s="5" t="s">
        <v>2578</v>
      </c>
      <c r="B860" s="6" t="s">
        <v>2579</v>
      </c>
      <c r="C860" s="5" t="s">
        <v>7</v>
      </c>
      <c r="D860" s="5" t="s">
        <v>2580</v>
      </c>
      <c r="E860" s="3" t="str">
        <f>IFERROR(__xludf.DUMMYFUNCTION("GOOGLETRANSLATE(D860, ""en"", ""zh-tw"")"),"我們為婚禮聘請了一家餐飲公司。")</f>
        <v>我們為婚禮聘請了一家餐飲公司。</v>
      </c>
    </row>
    <row r="861">
      <c r="A861" s="5" t="s">
        <v>2581</v>
      </c>
      <c r="B861" s="6" t="s">
        <v>2582</v>
      </c>
      <c r="C861" s="5" t="s">
        <v>7</v>
      </c>
      <c r="D861" s="5" t="s">
        <v>2583</v>
      </c>
      <c r="E861" s="3" t="str">
        <f>IFERROR(__xludf.DUMMYFUNCTION("GOOGLETRANSLATE(D861, ""en"", ""zh-tw"")"),"維修團隊很快就修好機器了。")</f>
        <v>維修團隊很快就修好機器了。</v>
      </c>
    </row>
    <row r="862">
      <c r="A862" s="5" t="s">
        <v>2584</v>
      </c>
      <c r="B862" s="6" t="s">
        <v>2585</v>
      </c>
      <c r="C862" s="5" t="s">
        <v>7</v>
      </c>
      <c r="D862" s="5" t="s">
        <v>2586</v>
      </c>
      <c r="E862" s="3" t="str">
        <f>IFERROR(__xludf.DUMMYFUNCTION("GOOGLETRANSLATE(D862, ""en"", ""zh-tw"")"),"我的教練為我制定了一套訓練計畫。")</f>
        <v>我的教練為我制定了一套訓練計畫。</v>
      </c>
    </row>
    <row r="863">
      <c r="A863" s="5" t="s">
        <v>2587</v>
      </c>
      <c r="B863" s="6" t="s">
        <v>2588</v>
      </c>
      <c r="C863" s="5" t="s">
        <v>17</v>
      </c>
      <c r="D863" s="5" t="s">
        <v>2589</v>
      </c>
      <c r="E863" s="3" t="str">
        <f>IFERROR(__xludf.DUMMYFUNCTION("GOOGLETRANSLATE(D863, ""en"", ""zh-tw"")"),"她買了一塊布料準備做裙子。")</f>
        <v>她買了一塊布料準備做裙子。</v>
      </c>
    </row>
    <row r="864">
      <c r="A864" s="5" t="s">
        <v>2590</v>
      </c>
      <c r="B864" s="6" t="s">
        <v>2591</v>
      </c>
      <c r="C864" s="5" t="s">
        <v>7</v>
      </c>
      <c r="D864" s="5" t="s">
        <v>2592</v>
      </c>
      <c r="E864" s="3" t="str">
        <f>IFERROR(__xludf.DUMMYFUNCTION("GOOGLETRANSLATE(D864, ""en"", ""zh-tw"")"),"我們參觀了市中心的美術館。")</f>
        <v>我們參觀了市中心的美術館。</v>
      </c>
    </row>
    <row r="865">
      <c r="A865" s="5" t="s">
        <v>2593</v>
      </c>
      <c r="B865" s="6" t="s">
        <v>2594</v>
      </c>
      <c r="C865" s="5" t="s">
        <v>7</v>
      </c>
      <c r="D865" s="5" t="s">
        <v>2595</v>
      </c>
      <c r="E865" s="3" t="str">
        <f>IFERROR(__xludf.DUMMYFUNCTION("GOOGLETRANSLATE(D865, ""en"", ""zh-tw"")"),"社區市集上有美食、遊戲和現場音樂表演。")</f>
        <v>社區市集上有美食、遊戲和現場音樂表演。</v>
      </c>
    </row>
    <row r="866">
      <c r="A866" s="5" t="s">
        <v>2596</v>
      </c>
      <c r="B866" s="6" t="s">
        <v>2597</v>
      </c>
      <c r="C866" s="5" t="s">
        <v>7</v>
      </c>
      <c r="D866" s="5" t="s">
        <v>2598</v>
      </c>
      <c r="E866" s="3" t="str">
        <f>IFERROR(__xludf.DUMMYFUNCTION("GOOGLETRANSLATE(D866, ""en"", ""zh-tw"")"),"許多公司在展會上推出了新產品。")</f>
        <v>許多公司在展會上推出了新產品。</v>
      </c>
    </row>
    <row r="867">
      <c r="A867" s="5" t="s">
        <v>2599</v>
      </c>
      <c r="B867" s="6" t="s">
        <v>2600</v>
      </c>
      <c r="C867" s="5" t="s">
        <v>7</v>
      </c>
      <c r="D867" s="5" t="s">
        <v>2601</v>
      </c>
      <c r="E867" s="3" t="str">
        <f>IFERROR(__xludf.DUMMYFUNCTION("GOOGLETRANSLATE(D867, ""en"", ""zh-tw"")"),"會議期間舉行了關於氣候變遷的小組討論。")</f>
        <v>會議期間舉行了關於氣候變遷的小組討論。</v>
      </c>
    </row>
    <row r="868">
      <c r="A868" s="5" t="s">
        <v>2602</v>
      </c>
      <c r="B868" s="6" t="s">
        <v>2603</v>
      </c>
      <c r="C868" s="5" t="s">
        <v>7</v>
      </c>
      <c r="D868" s="5" t="s">
        <v>2604</v>
      </c>
      <c r="E868" s="3" t="str">
        <f>IFERROR(__xludf.DUMMYFUNCTION("GOOGLETRANSLATE(D868, ""en"", ""zh-tw"")"),"他完成線上課程後獲得了課程證書。")</f>
        <v>他完成線上課程後獲得了課程證書。</v>
      </c>
    </row>
    <row r="869">
      <c r="A869" s="5" t="s">
        <v>2605</v>
      </c>
      <c r="B869" s="6" t="s">
        <v>2606</v>
      </c>
      <c r="C869" s="5" t="s">
        <v>7</v>
      </c>
      <c r="D869" s="5" t="s">
        <v>2607</v>
      </c>
      <c r="E869" s="3" t="str">
        <f>IFERROR(__xludf.DUMMYFUNCTION("GOOGLETRANSLATE(D869, ""en"", ""zh-tw"")"),"1. 一位街頭小販在夜市賣小吃。 2. 該公司與多家軟體供應商合作。")</f>
        <v>1. 一位街頭小販在夜市賣小吃。 2. 該公司與多家軟體供應商合作。</v>
      </c>
    </row>
    <row r="870">
      <c r="A870" s="5" t="s">
        <v>2608</v>
      </c>
      <c r="B870" s="6" t="s">
        <v>2609</v>
      </c>
      <c r="C870" s="5" t="s">
        <v>7</v>
      </c>
      <c r="D870" s="5" t="s">
        <v>2610</v>
      </c>
      <c r="E870" s="3" t="str">
        <f>IFERROR(__xludf.DUMMYFUNCTION("GOOGLETRANSLATE(D870, ""en"", ""zh-tw"")"),"這些汽車是在組裝廠生產的。")</f>
        <v>這些汽車是在組裝廠生產的。</v>
      </c>
    </row>
    <row r="871">
      <c r="A871" s="5" t="s">
        <v>2611</v>
      </c>
      <c r="B871" s="6" t="s">
        <v>2612</v>
      </c>
      <c r="C871" s="5" t="s">
        <v>17</v>
      </c>
      <c r="D871" s="5" t="s">
        <v>2613</v>
      </c>
      <c r="E871" s="3" t="str">
        <f>IFERROR(__xludf.DUMMYFUNCTION("GOOGLETRANSLATE(D871, ""en"", ""zh-tw"")"),"員工可以在員工休息室吃午餐。")</f>
        <v>員工可以在員工休息室吃午餐。</v>
      </c>
    </row>
    <row r="872">
      <c r="A872" s="5" t="s">
        <v>2614</v>
      </c>
      <c r="B872" s="6" t="s">
        <v>2615</v>
      </c>
      <c r="C872" s="5" t="s">
        <v>7</v>
      </c>
      <c r="D872" s="5" t="s">
        <v>2616</v>
      </c>
      <c r="E872" s="3" t="str">
        <f>IFERROR(__xludf.DUMMYFUNCTION("GOOGLETRANSLATE(D872, ""en"", ""zh-tw"")"),"該公司推出了一項新的廣告宣傳活動。")</f>
        <v>該公司推出了一項新的廣告宣傳活動。</v>
      </c>
    </row>
    <row r="873">
      <c r="A873" s="5" t="s">
        <v>2617</v>
      </c>
      <c r="B873" s="6" t="s">
        <v>2618</v>
      </c>
      <c r="C873" s="5" t="s">
        <v>7</v>
      </c>
      <c r="D873" s="5" t="s">
        <v>2619</v>
      </c>
      <c r="E873" s="3" t="str">
        <f>IFERROR(__xludf.DUMMYFUNCTION("GOOGLETRANSLATE(D873, ""en"", ""zh-tw"")"),"公司會為業績優異的員工提供經濟獎勵。")</f>
        <v>公司會為業績優異的員工提供經濟獎勵。</v>
      </c>
    </row>
    <row r="874">
      <c r="A874" s="5" t="s">
        <v>2620</v>
      </c>
      <c r="B874" s="6" t="s">
        <v>2621</v>
      </c>
      <c r="C874" s="5" t="s">
        <v>7</v>
      </c>
      <c r="D874" s="5" t="s">
        <v>2622</v>
      </c>
      <c r="E874" s="3" t="str">
        <f>IFERROR(__xludf.DUMMYFUNCTION("GOOGLETRANSLATE(D874, ""en"", ""zh-tw"")"),"請保留所有差旅收據以便報銷。")</f>
        <v>請保留所有差旅收據以便報銷。</v>
      </c>
    </row>
    <row r="875">
      <c r="A875" s="5" t="s">
        <v>2623</v>
      </c>
      <c r="B875" s="6" t="s">
        <v>2624</v>
      </c>
      <c r="C875" s="5" t="s">
        <v>7</v>
      </c>
      <c r="D875" s="5" t="s">
        <v>2625</v>
      </c>
      <c r="E875" s="3" t="str">
        <f>IFERROR(__xludf.DUMMYFUNCTION("GOOGLETRANSLATE(D875, ""en"", ""zh-tw"")"),"所有員工上班時必須配戴工作證。")</f>
        <v>所有員工上班時必須配戴工作證。</v>
      </c>
    </row>
    <row r="876">
      <c r="A876" s="5" t="s">
        <v>2626</v>
      </c>
      <c r="B876" s="6" t="s">
        <v>2627</v>
      </c>
      <c r="C876" s="5" t="s">
        <v>7</v>
      </c>
      <c r="D876" s="5" t="s">
        <v>2628</v>
      </c>
      <c r="E876" s="3" t="str">
        <f>IFERROR(__xludf.DUMMYFUNCTION("GOOGLETRANSLATE(D876, ""en"", ""zh-tw"")"),"一家製造廠")</f>
        <v>一家製造廠</v>
      </c>
    </row>
    <row r="877">
      <c r="A877" s="5" t="s">
        <v>2629</v>
      </c>
      <c r="B877" s="6" t="s">
        <v>2630</v>
      </c>
      <c r="C877" s="5" t="s">
        <v>7</v>
      </c>
      <c r="D877" s="5" t="s">
        <v>2631</v>
      </c>
      <c r="E877" s="3" t="str">
        <f>IFERROR(__xludf.DUMMYFUNCTION("GOOGLETRANSLATE(D877, ""en"", ""zh-tw"")"),"老師示範了實驗過程。")</f>
        <v>老師示範了實驗過程。</v>
      </c>
    </row>
    <row r="878">
      <c r="A878" s="5" t="s">
        <v>2632</v>
      </c>
      <c r="B878" s="6" t="s">
        <v>2633</v>
      </c>
      <c r="C878" s="5" t="s">
        <v>17</v>
      </c>
      <c r="D878" s="5" t="s">
        <v>2634</v>
      </c>
      <c r="E878" s="3" t="str">
        <f>IFERROR(__xludf.DUMMYFUNCTION("GOOGLETRANSLATE(D878, ""en"", ""zh-tw"")"),"騎摩托車時必須配戴安全帽。")</f>
        <v>騎摩托車時必須配戴安全帽。</v>
      </c>
    </row>
    <row r="879">
      <c r="A879" s="5" t="s">
        <v>2635</v>
      </c>
      <c r="B879" s="6" t="s">
        <v>2636</v>
      </c>
      <c r="C879" s="5" t="s">
        <v>7</v>
      </c>
      <c r="D879" s="5" t="s">
        <v>2637</v>
      </c>
      <c r="E879" s="3" t="str">
        <f>IFERROR(__xludf.DUMMYFUNCTION("GOOGLETRANSLATE(D879, ""en"", ""zh-tw"")"),"1. 他們正在建造一座新橋。 2. 該理論是多年研究的成果。 3. 他建構了一個清晰的論點。")</f>
        <v>1. 他們正在建造一座新橋。 2. 該理論是多年研究的成果。 3. 他建構了一個清晰的論點。</v>
      </c>
    </row>
    <row r="880">
      <c r="A880" s="5" t="s">
        <v>2638</v>
      </c>
      <c r="B880" s="6" t="s">
        <v>2639</v>
      </c>
      <c r="C880" s="5" t="s">
        <v>17</v>
      </c>
      <c r="D880" s="5" t="s">
        <v>2640</v>
      </c>
      <c r="E880" s="3" t="str">
        <f>IFERROR(__xludf.DUMMYFUNCTION("GOOGLETRANSLATE(D880, ""en"", ""zh-tw"")"),"她正在超市推著購物車。")</f>
        <v>她正在超市推著購物車。</v>
      </c>
    </row>
    <row r="881">
      <c r="A881" s="5" t="s">
        <v>2641</v>
      </c>
      <c r="B881" s="6" t="s">
        <v>2642</v>
      </c>
      <c r="C881" s="5" t="s">
        <v>7</v>
      </c>
      <c r="D881" s="5" t="s">
        <v>2643</v>
      </c>
      <c r="E881" s="3" t="str">
        <f>IFERROR(__xludf.DUMMYFUNCTION("GOOGLETRANSLATE(D881, ""en"", ""zh-tw"")"),"1. 她把碗碟放進了櫃子裡。 2. 總統宣布了內閣改組。 3. 伺服器存放在櫃子裡。")</f>
        <v>1. 她把碗碟放進了櫃子裡。 2. 總統宣布了內閣改組。 3. 伺服器存放在櫃子裡。</v>
      </c>
    </row>
    <row r="882">
      <c r="A882" s="5" t="s">
        <v>2644</v>
      </c>
      <c r="B882" s="6" t="s">
        <v>2645</v>
      </c>
      <c r="C882" s="5" t="s">
        <v>17</v>
      </c>
      <c r="D882" s="5" t="s">
        <v>2646</v>
      </c>
      <c r="E882" s="3" t="str">
        <f>IFERROR(__xludf.DUMMYFUNCTION("GOOGLETRANSLATE(D882, ""en"", ""zh-tw"")"),"1. 學習語言是一個漫長的過程。 2. 系統會自動處理資料。 3. 工廠加工食品用於出口。")</f>
        <v>1. 學習語言是一個漫長的過程。 2. 系統會自動處理資料。 3. 工廠加工食品用於出口。</v>
      </c>
    </row>
    <row r="883">
      <c r="A883" s="5" t="s">
        <v>2647</v>
      </c>
      <c r="B883" s="6" t="s">
        <v>2648</v>
      </c>
      <c r="C883" s="5" t="s">
        <v>7</v>
      </c>
      <c r="D883" s="5" t="s">
        <v>2649</v>
      </c>
      <c r="E883" s="3" t="str">
        <f>IFERROR(__xludf.DUMMYFUNCTION("GOOGLETRANSLATE(D883, ""en"", ""zh-tw"")"),"1. 火箭發射升空。 2. 該公司發布了一款新智慧型手機。 3. 他們上個月啟動了一個新計畫。 4. 產品發表會很成功。")</f>
        <v>1. 火箭發射升空。 2. 該公司發布了一款新智慧型手機。 3. 他們上個月啟動了一個新計畫。 4. 產品發表會很成功。</v>
      </c>
    </row>
    <row r="884">
      <c r="A884" s="5" t="s">
        <v>2650</v>
      </c>
      <c r="B884" s="6" t="s">
        <v>2651</v>
      </c>
      <c r="C884" s="5" t="s">
        <v>279</v>
      </c>
      <c r="D884" s="5" t="s">
        <v>2652</v>
      </c>
      <c r="E884" s="3" t="str">
        <f>IFERROR(__xludf.DUMMYFUNCTION("GOOGLETRANSLATE(D884, ""en"", ""zh-tw"")"),"1. 她在工作中展現了極強的積極性。 2. 政府啟動了一項減少污染的新措施。 3. 他主動承擔了解決問題的責任。")</f>
        <v>1. 她在工作中展現了極強的積極性。 2. 政府啟動了一項減少污染的新措施。 3. 他主動承擔了解決問題的責任。</v>
      </c>
    </row>
    <row r="885">
      <c r="A885" s="5" t="s">
        <v>2653</v>
      </c>
      <c r="B885" s="6" t="s">
        <v>2654</v>
      </c>
      <c r="C885" s="5" t="s">
        <v>17</v>
      </c>
      <c r="D885" s="5" t="s">
        <v>2655</v>
      </c>
      <c r="E885" s="3" t="str">
        <f>IFERROR(__xludf.DUMMYFUNCTION("GOOGLETRANSLATE(D885, ""en"", ""zh-tw"")"),"1. 我附上我的履歷。 2. 花園四周有圍欄。")</f>
        <v>1. 我附上我的履歷。 2. 花園四周有圍欄。</v>
      </c>
    </row>
    <row r="886">
      <c r="A886" s="5" t="s">
        <v>2656</v>
      </c>
      <c r="B886" s="6" t="s">
        <v>2657</v>
      </c>
      <c r="C886" s="5" t="s">
        <v>7</v>
      </c>
      <c r="D886" s="5" t="s">
        <v>2658</v>
      </c>
      <c r="E886" s="3" t="str">
        <f>IFERROR(__xludf.DUMMYFUNCTION("GOOGLETRANSLATE(D886, ""en"", ""zh-tw"")"),"1. 這輛車通過了檢驗。 2. 經理對工廠進行了視察。")</f>
        <v>1. 這輛車通過了檢驗。 2. 經理對工廠進行了視察。</v>
      </c>
    </row>
    <row r="887">
      <c r="A887" s="5" t="s">
        <v>2659</v>
      </c>
      <c r="B887" s="6" t="s">
        <v>2660</v>
      </c>
      <c r="C887" s="5" t="s">
        <v>7</v>
      </c>
      <c r="D887" s="5" t="s">
        <v>2661</v>
      </c>
      <c r="E887" s="3" t="str">
        <f>IFERROR(__xludf.DUMMYFUNCTION("GOOGLETRANSLATE(D887, ""en"", ""zh-tw"")"),"1. 這家商店備有大量的商品庫存。 2. 我們清點了所有設備。 3. 公司每年進行一次庫存盤點。")</f>
        <v>1. 這家商店備有大量的商品庫存。 2. 我們清點了所有設備。 3. 公司每年進行一次庫存盤點。</v>
      </c>
    </row>
    <row r="888">
      <c r="A888" s="5" t="s">
        <v>2662</v>
      </c>
      <c r="B888" s="6" t="s">
        <v>2663</v>
      </c>
      <c r="C888" s="5" t="s">
        <v>17</v>
      </c>
      <c r="D888" s="5" t="s">
        <v>2664</v>
      </c>
      <c r="E888" s="3" t="str">
        <f>IFERROR(__xludf.DUMMYFUNCTION("GOOGLETRANSLATE(D888, ""en"", ""zh-tw"")"),"1. 服務生很快就為顧客們上了菜。 2. 他們晚上7點開始供應晚餐。 3. 他在軍隊服役了五年。 4. 她把舞會辦得很好。")</f>
        <v>1. 服務生很快就為顧客們上了菜。 2. 他們晚上7點開始供應晚餐。 3. 他在軍隊服役了五年。 4. 她把舞會辦得很好。</v>
      </c>
    </row>
    <row r="889">
      <c r="A889" s="5" t="s">
        <v>2665</v>
      </c>
      <c r="B889" s="6" t="s">
        <v>2666</v>
      </c>
      <c r="C889" s="5" t="s">
        <v>7</v>
      </c>
      <c r="D889" s="5" t="s">
        <v>2667</v>
      </c>
      <c r="E889" s="3" t="str">
        <f>IFERROR(__xludf.DUMMYFUNCTION("GOOGLETRANSLATE(D889, ""en"", ""zh-tw"")"),"1. 會後提供了茶點。 2. 短暫的散步讓我精神煥發。")</f>
        <v>1. 會後提供了茶點。 2. 短暫的散步讓我精神煥發。</v>
      </c>
    </row>
    <row r="890">
      <c r="A890" s="5" t="s">
        <v>2668</v>
      </c>
      <c r="B890" s="6" t="s">
        <v>2669</v>
      </c>
      <c r="C890" s="5" t="s">
        <v>7</v>
      </c>
      <c r="D890" s="5" t="s">
        <v>2670</v>
      </c>
      <c r="E890" s="3" t="str">
        <f>IFERROR(__xludf.DUMMYFUNCTION("GOOGLETRANSLATE(D890, ""en"", ""zh-tw"")"),"1. 老師把練習題分發給了學生。 2. 這種物種廣泛分佈於亞洲。 3. 該公司在全球銷售產品。")</f>
        <v>1. 老師把練習題分發給了學生。 2. 這種物種廣泛分佈於亞洲。 3. 該公司在全球銷售產品。</v>
      </c>
    </row>
    <row r="891">
      <c r="A891" s="5" t="s">
        <v>2671</v>
      </c>
      <c r="B891" s="6" t="s">
        <v>2672</v>
      </c>
      <c r="C891" s="5" t="s">
        <v>7</v>
      </c>
      <c r="D891" s="5" t="s">
        <v>2673</v>
      </c>
      <c r="E891" s="3" t="str">
        <f>IFERROR(__xludf.DUMMYFUNCTION("GOOGLETRANSLATE(D891, ""en"", ""zh-tw"")"),"1. 我們估計費用為 500 美元。 2. 維修估價太高了。")</f>
        <v>1. 我們估計費用為 500 美元。 2. 維修估價太高了。</v>
      </c>
    </row>
    <row r="892">
      <c r="A892" s="5" t="s">
        <v>2674</v>
      </c>
      <c r="B892" s="6" t="s">
        <v>2675</v>
      </c>
      <c r="C892" s="5" t="s">
        <v>7</v>
      </c>
      <c r="D892" s="5" t="s">
        <v>2676</v>
      </c>
      <c r="E892" s="3" t="str">
        <f>IFERROR(__xludf.DUMMYFUNCTION("GOOGLETRANSLATE(D892, ""en"", ""zh-tw"")"),"1. 我昨天提交了求職申請。 2. 這個理論有很多實際應用。 3. 我在手機上下載了一個新的應用程式。")</f>
        <v>1. 我昨天提交了求職申請。 2. 這個理論有很多實際應用。 3. 我在手機上下載了一個新的應用程式。</v>
      </c>
    </row>
    <row r="893">
      <c r="A893" s="5" t="s">
        <v>2677</v>
      </c>
      <c r="B893" s="6" t="s">
        <v>2678</v>
      </c>
      <c r="C893" s="5" t="s">
        <v>7</v>
      </c>
      <c r="D893" s="5" t="s">
        <v>2679</v>
      </c>
      <c r="E893" s="3" t="str">
        <f>IFERROR(__xludf.DUMMYFUNCTION("GOOGLETRANSLATE(D893, ""en"", ""zh-tw"")"),"1. 公司將於下個月實施新政策。 2. 我們需要立即執行這項計劃。")</f>
        <v>1. 公司將於下個月實施新政策。 2. 我們需要立即執行這項計劃。</v>
      </c>
    </row>
    <row r="894">
      <c r="A894" s="5" t="s">
        <v>2680</v>
      </c>
      <c r="B894" s="6" t="s">
        <v>2681</v>
      </c>
      <c r="C894" s="5" t="s">
        <v>17</v>
      </c>
      <c r="D894" s="5" t="s">
        <v>2682</v>
      </c>
      <c r="E894" s="3" t="str">
        <f>IFERROR(__xludf.DUMMYFUNCTION("GOOGLETRANSLATE(D894, ""en"", ""zh-tw"")"),"1. 我們測量了桌子的長度。 2. 成功很難衡量。 3. 政府推出了新的安全措施。 4. 裁縫師為我量了尺寸。")</f>
        <v>1. 我們測量了桌子的長度。 2. 成功很難衡量。 3. 政府推出了新的安全措施。 4. 裁縫師為我量了尺寸。</v>
      </c>
    </row>
    <row r="895">
      <c r="A895" s="5" t="s">
        <v>2683</v>
      </c>
      <c r="B895" s="6" t="s">
        <v>2684</v>
      </c>
      <c r="C895" s="5" t="s">
        <v>17</v>
      </c>
      <c r="D895" s="5" t="s">
        <v>2685</v>
      </c>
      <c r="E895" s="3" t="str">
        <f>IFERROR(__xludf.DUMMYFUNCTION("GOOGLETRANSLATE(D895, ""en"", ""zh-tw"")"),"1. 該手機享有一年保固。 2. 該計劃不保證一定成功。")</f>
        <v>1. 該手機享有一年保固。 2. 該計劃不保證一定成功。</v>
      </c>
    </row>
    <row r="896">
      <c r="A896" s="5" t="s">
        <v>2686</v>
      </c>
      <c r="B896" s="6" t="s">
        <v>2687</v>
      </c>
      <c r="C896" s="5" t="s">
        <v>7</v>
      </c>
      <c r="D896" s="5" t="s">
        <v>2688</v>
      </c>
      <c r="E896" s="3" t="str">
        <f>IFERROR(__xludf.DUMMYFUNCTION("GOOGLETRANSLATE(D896, ""en"", ""zh-tw"")"),"1. 該國農業產業發達。 2. 農業用地用於種植農作物。")</f>
        <v>1. 該國農業產業發達。 2. 農業用地用於種植農作物。</v>
      </c>
    </row>
    <row r="897">
      <c r="A897" s="5" t="s">
        <v>2689</v>
      </c>
      <c r="B897" s="6" t="s">
        <v>2690</v>
      </c>
      <c r="C897" s="5" t="s">
        <v>17</v>
      </c>
      <c r="D897" s="5" t="s">
        <v>2691</v>
      </c>
      <c r="E897" s="3" t="str">
        <f>IFERROR(__xludf.DUMMYFUNCTION("GOOGLETRANSLATE(D897, ""en"", ""zh-tw"")"),"1. 本次會議的目的是什麼？ 2. 這個工具很有用。")</f>
        <v>1. 本次會議的目的是什麼？ 2. 這個工具很有用。</v>
      </c>
    </row>
    <row r="898">
      <c r="A898" s="5" t="s">
        <v>2692</v>
      </c>
      <c r="B898" s="6" t="s">
        <v>2693</v>
      </c>
      <c r="C898" s="5" t="s">
        <v>17</v>
      </c>
      <c r="D898" s="5" t="s">
        <v>2694</v>
      </c>
      <c r="E898" s="3" t="str">
        <f>IFERROR(__xludf.DUMMYFUNCTION("GOOGLETRANSLATE(D898, ""en"", ""zh-tw"")"),"1. 這兩家公司將於明年合併。 2. 這些顏色相互融合。")</f>
        <v>1. 這兩家公司將於明年合併。 2. 這些顏色相互融合。</v>
      </c>
    </row>
    <row r="899">
      <c r="A899" s="5" t="s">
        <v>2695</v>
      </c>
      <c r="B899" s="6" t="s">
        <v>2696</v>
      </c>
      <c r="C899" s="5" t="s">
        <v>17</v>
      </c>
      <c r="D899" s="5" t="s">
        <v>2697</v>
      </c>
      <c r="E899" s="3" t="str">
        <f>IFERROR(__xludf.DUMMYFUNCTION("GOOGLETRANSLATE(D899, ""en"", ""zh-tw"")"),"學校舉辦了一場慈善募款活動。")</f>
        <v>學校舉辦了一場慈善募款活動。</v>
      </c>
    </row>
    <row r="900">
      <c r="A900" s="5" t="s">
        <v>2698</v>
      </c>
      <c r="B900" s="6" t="s">
        <v>2699</v>
      </c>
      <c r="C900" s="5" t="s">
        <v>17</v>
      </c>
      <c r="D900" s="5" t="s">
        <v>2700</v>
      </c>
      <c r="E900" s="3" t="str">
        <f>IFERROR(__xludf.DUMMYFUNCTION("GOOGLETRANSLATE(D900, ""en"", ""zh-tw"")"),"會議延後到下週舉行。")</f>
        <v>會議延後到下週舉行。</v>
      </c>
    </row>
    <row r="901">
      <c r="A901" s="5" t="s">
        <v>2701</v>
      </c>
      <c r="B901" s="6" t="s">
        <v>2702</v>
      </c>
      <c r="C901" s="5" t="s">
        <v>17</v>
      </c>
      <c r="D901" s="5" t="s">
        <v>2703</v>
      </c>
      <c r="E901" s="3" t="str">
        <f>IFERROR(__xludf.DUMMYFUNCTION("GOOGLETRANSLATE(D901, ""en"", ""zh-tw"")"),"飯店位於海濱。")</f>
        <v>飯店位於海濱。</v>
      </c>
    </row>
    <row r="902">
      <c r="A902" s="5" t="s">
        <v>2704</v>
      </c>
      <c r="B902" s="6" t="s">
        <v>2705</v>
      </c>
      <c r="C902" s="5" t="s">
        <v>17</v>
      </c>
      <c r="D902" s="5" t="s">
        <v>2706</v>
      </c>
      <c r="E902" s="3" t="str">
        <f>IFERROR(__xludf.DUMMYFUNCTION("GOOGLETRANSLATE(D902, ""en"", ""zh-tw"")"),"1. 請攜帶您的身分證件。 2. 研究人員已仔細記錄了結果。")</f>
        <v>1. 請攜帶您的身分證件。 2. 研究人員已仔細記錄了結果。</v>
      </c>
    </row>
    <row r="903">
      <c r="A903" s="5" t="s">
        <v>2707</v>
      </c>
      <c r="B903" s="6" t="s">
        <v>2708</v>
      </c>
      <c r="C903" s="5" t="s">
        <v>17</v>
      </c>
      <c r="D903" s="5" t="s">
        <v>2709</v>
      </c>
      <c r="E903" s="3" t="str">
        <f>IFERROR(__xludf.DUMMYFUNCTION("GOOGLETRANSLATE(D903, ""en"", ""zh-tw"")"),"1. 她把紙對折了。 2. 布料上有一道摺痕。")</f>
        <v>1. 她把紙對折了。 2. 布料上有一道摺痕。</v>
      </c>
    </row>
    <row r="904">
      <c r="A904" s="5" t="s">
        <v>2710</v>
      </c>
      <c r="B904" s="6" t="s">
        <v>2711</v>
      </c>
      <c r="C904" s="5" t="s">
        <v>7</v>
      </c>
      <c r="D904" s="5" t="s">
        <v>2712</v>
      </c>
      <c r="E904" s="3" t="str">
        <f>IFERROR(__xludf.DUMMYFUNCTION("GOOGLETRANSLATE(D904, ""en"", ""zh-tw"")"),"她把稿件寄給了出版社。")</f>
        <v>她把稿件寄給了出版社。</v>
      </c>
    </row>
    <row r="905">
      <c r="A905" s="5" t="s">
        <v>2713</v>
      </c>
      <c r="B905" s="6" t="s">
        <v>2714</v>
      </c>
      <c r="C905" s="5" t="s">
        <v>17</v>
      </c>
      <c r="D905" s="5" t="s">
        <v>2715</v>
      </c>
      <c r="E905" s="3" t="str">
        <f>IFERROR(__xludf.DUMMYFUNCTION("GOOGLETRANSLATE(D905, ""en"", ""zh-tw"")"),"1. 只有工作人員才能進入此房間。 2. 您可以在線上存取這些文件。")</f>
        <v>1. 只有工作人員才能進入此房間。 2. 您可以在線上存取這些文件。</v>
      </c>
    </row>
    <row r="906">
      <c r="A906" s="5" t="s">
        <v>2716</v>
      </c>
      <c r="B906" s="6" t="s">
        <v>2717</v>
      </c>
      <c r="C906" s="5" t="s">
        <v>17</v>
      </c>
      <c r="D906" s="5" t="s">
        <v>2718</v>
      </c>
      <c r="E906" s="3" t="str">
        <f>IFERROR(__xludf.DUMMYFUNCTION("GOOGLETRANSLATE(D906, ""en"", ""zh-tw"")"),"1. 請丟棄破損物品。 2. 他們放棄了原計劃。 3. 廢棄物堆積如山。")</f>
        <v>1. 請丟棄破損物品。 2. 他們放棄了原計劃。 3. 廢棄物堆積如山。</v>
      </c>
    </row>
    <row r="907">
      <c r="A907" s="5" t="s">
        <v>2719</v>
      </c>
      <c r="B907" s="6" t="s">
        <v>2720</v>
      </c>
      <c r="C907" s="5" t="s">
        <v>7</v>
      </c>
      <c r="D907" s="5" t="s">
        <v>2721</v>
      </c>
      <c r="E907" s="3" t="str">
        <f>IFERROR(__xludf.DUMMYFUNCTION("GOOGLETRANSLATE(D907, ""en"", ""zh-tw"")"),"1. 請複印此文件。 2. 請保留一份合約副本。 3. 電腦裡有重複的檔案。")</f>
        <v>1. 請複印此文件。 2. 請保留一份合約副本。 3. 電腦裡有重複的檔案。</v>
      </c>
    </row>
    <row r="908">
      <c r="A908" s="5" t="s">
        <v>2722</v>
      </c>
      <c r="B908" s="6" t="s">
        <v>2723</v>
      </c>
      <c r="C908" s="5" t="s">
        <v>17</v>
      </c>
      <c r="D908" s="5" t="s">
        <v>2724</v>
      </c>
      <c r="E908" s="3" t="str">
        <f>IFERROR(__xludf.DUMMYFUNCTION("GOOGLETRANSLATE(D908, ""en"", ""zh-tw"")"),"1. 我把文件保存到了桌面。 2. 她以字母順序整理了文件。 3. 他向公司提出了投訴。")</f>
        <v>1. 我把文件保存到了桌面。 2. 她以字母順序整理了文件。 3. 他向公司提出了投訴。</v>
      </c>
    </row>
    <row r="909">
      <c r="A909" s="5" t="s">
        <v>2725</v>
      </c>
      <c r="B909" s="6" t="s">
        <v>2726</v>
      </c>
      <c r="C909" s="5" t="s">
        <v>279</v>
      </c>
      <c r="D909" s="5" t="s">
        <v>2727</v>
      </c>
      <c r="E909" s="3" t="str">
        <f>IFERROR(__xludf.DUMMYFUNCTION("GOOGLETRANSLATE(D909, ""en"", ""zh-tw"")"),"她從事行政工作。")</f>
        <v>她從事行政工作。</v>
      </c>
    </row>
    <row r="910">
      <c r="A910" s="5" t="s">
        <v>2728</v>
      </c>
      <c r="B910" s="6" t="s">
        <v>2729</v>
      </c>
      <c r="C910" s="5" t="s">
        <v>17</v>
      </c>
      <c r="D910" s="5" t="s">
        <v>2730</v>
      </c>
      <c r="E910" s="3" t="str">
        <f>IFERROR(__xludf.DUMMYFUNCTION("GOOGLETRANSLATE(D910, ""en"", ""zh-tw"")"),"這位科學家仔細分析了數據。")</f>
        <v>這位科學家仔細分析了數據。</v>
      </c>
    </row>
    <row r="911">
      <c r="A911" s="5" t="s">
        <v>2731</v>
      </c>
      <c r="B911" s="6" t="s">
        <v>2732</v>
      </c>
      <c r="C911" s="5" t="s">
        <v>7</v>
      </c>
      <c r="D911" s="5" t="s">
        <v>2733</v>
      </c>
      <c r="E911" s="3" t="str">
        <f>IFERROR(__xludf.DUMMYFUNCTION("GOOGLETRANSLATE(D911, ""en"", ""zh-tw"")"),"1. 她在醫院當文員工作。 2. 文員負責文件歸檔和資料輸入。")</f>
        <v>1. 她在醫院當文員工作。 2. 文員負責文件歸檔和資料輸入。</v>
      </c>
    </row>
    <row r="912">
      <c r="A912" s="5" t="s">
        <v>2734</v>
      </c>
      <c r="B912" s="6" t="s">
        <v>2735</v>
      </c>
      <c r="C912" s="5" t="s">
        <v>17</v>
      </c>
      <c r="D912" s="5" t="s">
        <v>2736</v>
      </c>
      <c r="E912" s="3" t="str">
        <f>IFERROR(__xludf.DUMMYFUNCTION("GOOGLETRANSLATE(D912, ""en"", ""zh-tw"")"),"1. 我寫了報告的初稿。 2. 她起草了一份專案提案。 3. 文件的草稿版本。")</f>
        <v>1. 我寫了報告的初稿。 2. 她起草了一份專案提案。 3. 文件的草稿版本。</v>
      </c>
    </row>
    <row r="913">
      <c r="A913" s="5" t="s">
        <v>2737</v>
      </c>
      <c r="B913" s="6" t="s">
        <v>2738</v>
      </c>
      <c r="C913" s="5" t="s">
        <v>7</v>
      </c>
      <c r="D913" s="5" t="s">
        <v>2739</v>
      </c>
      <c r="E913" s="3" t="str">
        <f>IFERROR(__xludf.DUMMYFUNCTION("GOOGLETRANSLATE(D913, ""en"", ""zh-tw"")"),"我們需要在周五之前完成報告。")</f>
        <v>我們需要在周五之前完成報告。</v>
      </c>
    </row>
    <row r="914">
      <c r="A914" s="5" t="s">
        <v>2740</v>
      </c>
      <c r="B914" s="6" t="s">
        <v>2741</v>
      </c>
      <c r="C914" s="5" t="s">
        <v>17</v>
      </c>
      <c r="D914" s="5" t="s">
        <v>2742</v>
      </c>
      <c r="E914" s="3" t="str">
        <f>IFERROR(__xludf.DUMMYFUNCTION("GOOGLETRANSLATE(D914, ""en"", ""zh-tw"")"),"我整個下午都在處理文書工作。")</f>
        <v>我整個下午都在處理文書工作。</v>
      </c>
    </row>
    <row r="915">
      <c r="A915" s="5" t="s">
        <v>2743</v>
      </c>
      <c r="B915" s="6" t="s">
        <v>2744</v>
      </c>
      <c r="C915" s="5" t="s">
        <v>17</v>
      </c>
      <c r="D915" s="5" t="s">
        <v>2745</v>
      </c>
      <c r="E915" s="3" t="str">
        <f>IFERROR(__xludf.DUMMYFUNCTION("GOOGLETRANSLATE(D915, ""en"", ""zh-tw"")"),"1. 我需要修改我的文章。 2. 她正在複習考試。")</f>
        <v>1. 我需要修改我的文章。 2. 她正在複習考試。</v>
      </c>
    </row>
    <row r="916">
      <c r="A916" s="5" t="s">
        <v>2746</v>
      </c>
      <c r="B916" s="6" t="s">
        <v>2747</v>
      </c>
      <c r="C916" s="5" t="s">
        <v>17</v>
      </c>
      <c r="D916" s="5" t="s">
        <v>2748</v>
      </c>
      <c r="E916" s="3" t="str">
        <f>IFERROR(__xludf.DUMMYFUNCTION("GOOGLETRANSLATE(D916, ""en"", ""zh-tw"")"),"1. 這雙鞋太緊了。 2. 人群非常擁擠。 3. 我們的日程安排很緊湊。")</f>
        <v>1. 這雙鞋太緊了。 2. 人群非常擁擠。 3. 我們的日程安排很緊湊。</v>
      </c>
    </row>
    <row r="917">
      <c r="A917" s="5" t="s">
        <v>2749</v>
      </c>
      <c r="B917" s="6" t="s">
        <v>2750</v>
      </c>
      <c r="C917" s="5" t="s">
        <v>17</v>
      </c>
      <c r="D917" s="5" t="s">
        <v>2751</v>
      </c>
      <c r="E917" s="3" t="str">
        <f>IFERROR(__xludf.DUMMYFUNCTION("GOOGLETRANSLATE(D917, ""en"", ""zh-tw"")"),"及時的警告避免了一起事故的發生。")</f>
        <v>及時的警告避免了一起事故的發生。</v>
      </c>
    </row>
    <row r="918">
      <c r="A918" s="5" t="s">
        <v>2752</v>
      </c>
      <c r="B918" s="6" t="s">
        <v>2753</v>
      </c>
      <c r="C918" s="5" t="s">
        <v>7</v>
      </c>
      <c r="D918" s="5" t="s">
        <v>2754</v>
      </c>
      <c r="E918" s="3" t="str">
        <f>IFERROR(__xludf.DUMMYFUNCTION("GOOGLETRANSLATE(D918, ""en"", ""zh-tw"")"),"1. 詳情請見附件。 2. 這款吸塵器配有多種配件。 3. 她對家鄉有著深厚的感情。")</f>
        <v>1. 詳情請見附件。 2. 這款吸塵器配有多種配件。 3. 她對家鄉有著深厚的感情。</v>
      </c>
    </row>
    <row r="919">
      <c r="A919" s="5" t="s">
        <v>2755</v>
      </c>
      <c r="B919" s="6" t="s">
        <v>2756</v>
      </c>
      <c r="C919" s="5" t="s">
        <v>7</v>
      </c>
      <c r="D919" s="5" t="s">
        <v>2757</v>
      </c>
      <c r="E919" s="3" t="str">
        <f>IFERROR(__xludf.DUMMYFUNCTION("GOOGLETRANSLATE(D919, ""en"", ""zh-tw"")"),"1. 學生上課非常專心。 2. 他是一位細心的服務生。")</f>
        <v>1. 學生上課非常專心。 2. 他是一位細心的服務生。</v>
      </c>
    </row>
    <row r="920">
      <c r="A920" s="5" t="s">
        <v>2758</v>
      </c>
      <c r="B920" s="6" t="s">
        <v>2759</v>
      </c>
      <c r="C920" s="5" t="s">
        <v>7</v>
      </c>
      <c r="D920" s="5" t="s">
        <v>2760</v>
      </c>
      <c r="E920" s="3" t="str">
        <f>IFERROR(__xludf.DUMMYFUNCTION("GOOGLETRANSLATE(D920, ""en"", ""zh-tw"")"),"1. 我們開會討論了這個項目。 2. 有一些關於經濟的令人擔憂的消息。")</f>
        <v>1. 我們開會討論了這個項目。 2. 有一些關於經濟的令人擔憂的消息。</v>
      </c>
    </row>
    <row r="921">
      <c r="A921" s="5" t="s">
        <v>2761</v>
      </c>
      <c r="B921" s="6" t="s">
        <v>2762</v>
      </c>
      <c r="C921" s="5" t="s">
        <v>7</v>
      </c>
      <c r="D921" s="5" t="s">
        <v>2763</v>
      </c>
      <c r="E921" s="3" t="str">
        <f>IFERROR(__xludf.DUMMYFUNCTION("GOOGLETRANSLATE(D921, ""en"", ""zh-tw"")"),"1. 我們不得不重新安排會議時間。 2. 航班改期到明天了。")</f>
        <v>1. 我們不得不重新安排會議時間。 2. 航班改期到明天了。</v>
      </c>
    </row>
    <row r="922">
      <c r="A922" s="5" t="s">
        <v>2764</v>
      </c>
      <c r="B922" s="6" t="s">
        <v>2765</v>
      </c>
      <c r="C922" s="5" t="s">
        <v>7</v>
      </c>
      <c r="D922" s="5" t="s">
        <v>2766</v>
      </c>
      <c r="E922" s="3" t="str">
        <f>IFERROR(__xludf.DUMMYFUNCTION("GOOGLETRANSLATE(D922, ""en"", ""zh-tw"")"),"1. 她工作效率很高。 2. 這台機器效率很高。 3. 一輛節能汽車")</f>
        <v>1. 她工作效率很高。 2. 這台機器效率很高。 3. 一輛節能汽車</v>
      </c>
    </row>
    <row r="923">
      <c r="A923" s="5" t="s">
        <v>2767</v>
      </c>
      <c r="B923" s="6" t="s">
        <v>2768</v>
      </c>
      <c r="C923" s="5" t="s">
        <v>7</v>
      </c>
      <c r="D923" s="5" t="s">
        <v>2769</v>
      </c>
      <c r="E923" s="3" t="str">
        <f>IFERROR(__xludf.DUMMYFUNCTION("GOOGLETRANSLATE(D923, ""en"", ""zh-tw"")"),"1. 他說話很有禮貌。 2. 她舉止非常沉穩。")</f>
        <v>1. 他說話很有禮貌。 2. 她舉止非常沉穩。</v>
      </c>
    </row>
    <row r="924">
      <c r="A924" s="5" t="s">
        <v>2770</v>
      </c>
      <c r="B924" s="6" t="s">
        <v>2771</v>
      </c>
      <c r="C924" s="5" t="s">
        <v>17</v>
      </c>
      <c r="D924" s="5" t="s">
        <v>2772</v>
      </c>
      <c r="E924" s="3" t="str">
        <f>IFERROR(__xludf.DUMMYFUNCTION("GOOGLETRANSLATE(D924, ""en"", ""zh-tw"")"),"1. 我在信上貼了郵票。 2. 這份文件上有官方印章。 3. 辦事員在我的護照上蓋了章。 4. 他生氣地跺了跺腳。")</f>
        <v>1. 我在信上貼了郵票。 2. 這份文件上有官方印章。 3. 辦事員在我的護照上蓋了章。 4. 他生氣地跺了跺腳。</v>
      </c>
    </row>
    <row r="925">
      <c r="A925" s="5" t="s">
        <v>2773</v>
      </c>
      <c r="B925" s="6" t="s">
        <v>2774</v>
      </c>
      <c r="C925" s="5" t="s">
        <v>17</v>
      </c>
      <c r="D925" s="5" t="s">
        <v>2775</v>
      </c>
      <c r="E925" s="3" t="str">
        <f>IFERROR(__xludf.DUMMYFUNCTION("GOOGLETRANSLATE(D925, ""en"", ""zh-tw"")"),"1. 文件為PDF格式。 2. 請在提交前調整文字格式。")</f>
        <v>1. 文件為PDF格式。 2. 請在提交前調整文字格式。</v>
      </c>
    </row>
    <row r="926">
      <c r="A926" s="5" t="s">
        <v>2776</v>
      </c>
      <c r="B926" s="6" t="s">
        <v>2777</v>
      </c>
      <c r="C926" s="5" t="s">
        <v>7</v>
      </c>
      <c r="D926" s="5" t="s">
        <v>2778</v>
      </c>
      <c r="E926" s="3" t="str">
        <f>IFERROR(__xludf.DUMMYFUNCTION("GOOGLETRANSLATE(D926, ""en"", ""zh-tw"")"),"1. 你的家庭住址是什麼？ 2. 總統發表了演說。 3. 我們需要立即解決這個問題。")</f>
        <v>1. 你的家庭住址是什麼？ 2. 總統發表了演說。 3. 我們需要立即解決這個問題。</v>
      </c>
    </row>
    <row r="927">
      <c r="A927" s="5" t="s">
        <v>2779</v>
      </c>
      <c r="B927" s="6" t="s">
        <v>2780</v>
      </c>
      <c r="C927" s="5" t="s">
        <v>7</v>
      </c>
      <c r="D927" s="5" t="s">
        <v>2781</v>
      </c>
      <c r="E927" s="3" t="str">
        <f>IFERROR(__xludf.DUMMYFUNCTION("GOOGLETRANSLATE(D927, ""en"", ""zh-tw"")"),"該公司發布了一款新產品。")</f>
        <v>該公司發布了一款新產品。</v>
      </c>
    </row>
    <row r="928">
      <c r="A928" s="5" t="s">
        <v>2782</v>
      </c>
      <c r="B928" s="6" t="s">
        <v>2783</v>
      </c>
      <c r="C928" s="5" t="s">
        <v>7</v>
      </c>
      <c r="D928" s="5" t="s">
        <v>2784</v>
      </c>
      <c r="E928" s="3" t="str">
        <f>IFERROR(__xludf.DUMMYFUNCTION("GOOGLETRANSLATE(D928, ""en"", ""zh-tw"")"),"請提前預訂門票。")</f>
        <v>請提前預訂門票。</v>
      </c>
    </row>
    <row r="929">
      <c r="A929" s="5" t="s">
        <v>2785</v>
      </c>
      <c r="B929" s="6" t="s">
        <v>2786</v>
      </c>
      <c r="C929" s="5" t="s">
        <v>17</v>
      </c>
      <c r="D929" s="5" t="s">
        <v>2787</v>
      </c>
      <c r="E929" s="3" t="str">
        <f>IFERROR(__xludf.DUMMYFUNCTION("GOOGLETRANSLATE(D929, ""en"", ""zh-tw"")"),"1. 該報告概述了該項目。 2. 這本書對歷史做了很好的概述。")</f>
        <v>1. 該報告概述了該項目。 2. 這本書對歷史做了很好的概述。</v>
      </c>
    </row>
    <row r="930">
      <c r="A930" s="5" t="s">
        <v>2788</v>
      </c>
      <c r="B930" s="6" t="s">
        <v>2789</v>
      </c>
      <c r="C930" s="5" t="s">
        <v>7</v>
      </c>
      <c r="D930" s="5" t="s">
        <v>2790</v>
      </c>
      <c r="E930" s="3" t="str">
        <f>IFERROR(__xludf.DUMMYFUNCTION("GOOGLETRANSLATE(D930, ""en"", ""zh-tw"")"),"請用三句話概括這篇文章。")</f>
        <v>請用三句話概括這篇文章。</v>
      </c>
    </row>
    <row r="931">
      <c r="A931" s="5" t="s">
        <v>2791</v>
      </c>
      <c r="B931" s="6" t="s">
        <v>2792</v>
      </c>
      <c r="C931" s="5" t="s">
        <v>17</v>
      </c>
      <c r="D931" s="5" t="s">
        <v>2793</v>
      </c>
      <c r="E931" s="3" t="str">
        <f>IFERROR(__xludf.DUMMYFUNCTION("GOOGLETRANSLATE(D931, ""en"", ""zh-tw"")"),"1. 這本書是關於歷史的。 2. 現在大約五點。 3. 他就在附近。 4. 我正要離開。")</f>
        <v>1. 這本書是關於歷史的。 2. 現在大約五點。 3. 他就在附近。 4. 我正要離開。</v>
      </c>
    </row>
    <row r="932">
      <c r="A932" s="5" t="s">
        <v>2794</v>
      </c>
      <c r="B932" s="6" t="s">
        <v>2795</v>
      </c>
      <c r="C932" s="5" t="s">
        <v>17</v>
      </c>
      <c r="D932" s="5" t="s">
        <v>2796</v>
      </c>
      <c r="E932" s="3" t="str">
        <f>IFERROR(__xludf.DUMMYFUNCTION("GOOGLETRANSLATE(D932, ""en"", ""zh-tw"")"),"你能解釋一下這條語法規則嗎？")</f>
        <v>你能解釋一下這條語法規則嗎？</v>
      </c>
    </row>
    <row r="933">
      <c r="A933" s="5" t="s">
        <v>2797</v>
      </c>
      <c r="B933" s="6" t="s">
        <v>2798</v>
      </c>
      <c r="C933" s="5" t="s">
        <v>7</v>
      </c>
      <c r="D933" s="5" t="s">
        <v>2799</v>
      </c>
      <c r="E933" s="3" t="str">
        <f>IFERROR(__xludf.DUMMYFUNCTION("GOOGLETRANSLATE(D933, ""en"", ""zh-tw"")"),"1. 房間裡的空氣流通。 2. 謠言傳得很快。 3. 這份備忘錄在員工之間傳閱。")</f>
        <v>1. 房間裡的空氣流通。 2. 謠言傳得很快。 3. 這份備忘錄在員工之間傳閱。</v>
      </c>
    </row>
    <row r="934">
      <c r="A934" s="5" t="s">
        <v>2800</v>
      </c>
      <c r="B934" s="6" t="s">
        <v>2801</v>
      </c>
      <c r="C934" s="5" t="s">
        <v>7</v>
      </c>
      <c r="D934" s="5" t="s">
        <v>2802</v>
      </c>
      <c r="E934" s="3" t="str">
        <f>IFERROR(__xludf.DUMMYFUNCTION("GOOGLETRANSLATE(D934, ""en"", ""zh-tw"")"),"1. 請上前一步。 2. 前進的方向。 3. 請把郵件轉寄給我。 4. 這個計劃將有助於我們達成目標。")</f>
        <v>1. 請上前一步。 2. 前進的方向。 3. 請把郵件轉寄給我。 4. 這個計劃將有助於我們達成目標。</v>
      </c>
    </row>
    <row r="935">
      <c r="A935" s="5" t="s">
        <v>2803</v>
      </c>
      <c r="B935" s="6" t="s">
        <v>2804</v>
      </c>
      <c r="C935" s="5" t="s">
        <v>17</v>
      </c>
      <c r="D935" s="5" t="s">
        <v>2805</v>
      </c>
      <c r="E935" s="3" t="str">
        <f>IFERROR(__xludf.DUMMYFUNCTION("GOOGLETRANSLATE(D935, ""en"", ""zh-tw"")"),"1. 如有任何變動，請告知我。 2. 她已將問題告知經理。")</f>
        <v>1. 如有任何變動，請告知我。 2. 她已將問題告知經理。</v>
      </c>
    </row>
    <row r="936">
      <c r="A936" s="5" t="s">
        <v>2806</v>
      </c>
      <c r="B936" s="6" t="s">
        <v>2807</v>
      </c>
      <c r="C936" s="5" t="s">
        <v>7</v>
      </c>
      <c r="D936" s="5" t="s">
        <v>2808</v>
      </c>
      <c r="E936" s="3" t="str">
        <f>IFERROR(__xludf.DUMMYFUNCTION("GOOGLETRANSLATE(D936, ""en"", ""zh-tw"")"),"1. 我設定了會議提醒。 2. 該應用程式每天都會發送提醒。")</f>
        <v>1. 我設定了會議提醒。 2. 該應用程式每天都會發送提醒。</v>
      </c>
    </row>
    <row r="937">
      <c r="A937" s="5" t="s">
        <v>2809</v>
      </c>
      <c r="B937" s="6" t="s">
        <v>2810</v>
      </c>
      <c r="C937" s="5" t="s">
        <v>17</v>
      </c>
      <c r="D937" s="5" t="s">
        <v>2811</v>
      </c>
      <c r="E937" s="3" t="str">
        <f>IFERROR(__xludf.DUMMYFUNCTION("GOOGLETRANSLATE(D937, ""en"", ""zh-tw"")"),"1. 這台機器狀況很差。 2. 加州是一個大州。 3. 州政府。 4. 他清楚地表達了自己的觀點。")</f>
        <v>1. 這台機器狀況很差。 2. 加州是一個大州。 3. 州政府。 4. 他清楚地表達了自己的觀點。</v>
      </c>
    </row>
    <row r="938">
      <c r="A938" s="5" t="s">
        <v>2812</v>
      </c>
      <c r="B938" s="6" t="s">
        <v>2813</v>
      </c>
      <c r="C938" s="5" t="s">
        <v>17</v>
      </c>
      <c r="D938" s="5" t="s">
        <v>2814</v>
      </c>
      <c r="E938" s="3" t="str">
        <f>IFERROR(__xludf.DUMMYFUNCTION("GOOGLETRANSLATE(D938, ""en"", ""zh-tw"")"),"1. 請認真聽課。 2. 這個問題已經引起了廣泛關注。")</f>
        <v>1. 請認真聽課。 2. 這個問題已經引起了廣泛關注。</v>
      </c>
    </row>
    <row r="939">
      <c r="A939" s="5" t="s">
        <v>2815</v>
      </c>
      <c r="B939" s="6" t="s">
        <v>2816</v>
      </c>
      <c r="C939" s="5" t="s">
        <v>17</v>
      </c>
      <c r="D939" s="5" t="s">
        <v>2817</v>
      </c>
      <c r="E939" s="3" t="str">
        <f>IFERROR(__xludf.DUMMYFUNCTION("GOOGLETRANSLATE(D939, ""en"", ""zh-tw"")"),"1. 您到達時請通知我。 2. 本公司已將政策更新通知員工。")</f>
        <v>1. 您到達時請通知我。 2. 本公司已將政策更新通知員工。</v>
      </c>
    </row>
    <row r="940">
      <c r="A940" s="5" t="s">
        <v>2818</v>
      </c>
      <c r="B940" s="6" t="s">
        <v>2819</v>
      </c>
      <c r="C940" s="5" t="s">
        <v>7</v>
      </c>
      <c r="D940" s="5" t="s">
        <v>2820</v>
      </c>
      <c r="E940" s="3" t="str">
        <f>IFERROR(__xludf.DUMMYFUNCTION("GOOGLETRANSLATE(D940, ""en"", ""zh-tw"")"),"很抱歉通知得這麼晚，會議取消了。")</f>
        <v>很抱歉通知得這麼晚，會議取消了。</v>
      </c>
    </row>
    <row r="941">
      <c r="A941" s="5" t="s">
        <v>2821</v>
      </c>
      <c r="B941" s="6" t="s">
        <v>2822</v>
      </c>
      <c r="C941" s="5" t="s">
        <v>17</v>
      </c>
      <c r="D941" s="5" t="s">
        <v>2823</v>
      </c>
      <c r="E941" s="3" t="str">
        <f>IFERROR(__xludf.DUMMYFUNCTION("GOOGLETRANSLATE(D941, ""en"", ""zh-tw"")"),"1. 學校在公告欄上張貼了通知。 2. 我沒注意到。 3. 你注意到變化了嗎？")</f>
        <v>1. 學校在公告欄上張貼了通知。 2. 我沒注意到。 3. 你注意到變化了嗎？</v>
      </c>
    </row>
    <row r="942">
      <c r="A942" s="5" t="s">
        <v>2824</v>
      </c>
      <c r="B942" s="6" t="s">
        <v>2825</v>
      </c>
      <c r="C942" s="5" t="s">
        <v>7</v>
      </c>
      <c r="D942" s="5" t="s">
        <v>2826</v>
      </c>
      <c r="E942" s="3" t="str">
        <f>IFERROR(__xludf.DUMMYFUNCTION("GOOGLETRANSLATE(D942, ""en"", ""zh-tw"")"),"我事先做好了一切準備。")</f>
        <v>我事先做好了一切準備。</v>
      </c>
    </row>
    <row r="943">
      <c r="A943" s="5" t="s">
        <v>2827</v>
      </c>
      <c r="B943" s="6" t="s">
        <v>2828</v>
      </c>
      <c r="C943" s="5" t="s">
        <v>7</v>
      </c>
      <c r="D943" s="5" t="s">
        <v>2829</v>
      </c>
      <c r="E943" s="3" t="str">
        <f>IFERROR(__xludf.DUMMYFUNCTION("GOOGLETRANSLATE(D943, ""en"", ""zh-tw"")"),"請提供所有相關資訊。")</f>
        <v>請提供所有相關資訊。</v>
      </c>
    </row>
    <row r="944">
      <c r="A944" s="5" t="s">
        <v>2830</v>
      </c>
      <c r="B944" s="6" t="s">
        <v>2831</v>
      </c>
      <c r="C944" s="5" t="s">
        <v>17</v>
      </c>
      <c r="D944" s="5" t="s">
        <v>2832</v>
      </c>
      <c r="E944" s="3" t="str">
        <f>IFERROR(__xludf.DUMMYFUNCTION("GOOGLETRANSLATE(D944, ""en"", ""zh-tw"")"),"1. 政府頒布了一項新法。 2. 這項政策是去年頒布的。 3. 這部戲劇再現了一個歷史事件。")</f>
        <v>1. 政府頒布了一項新法。 2. 這項政策是去年頒布的。 3. 這部戲劇再現了一個歷史事件。</v>
      </c>
    </row>
    <row r="945">
      <c r="A945" s="5" t="s">
        <v>2833</v>
      </c>
      <c r="B945" s="6" t="s">
        <v>2834</v>
      </c>
      <c r="C945" s="5" t="s">
        <v>7</v>
      </c>
      <c r="D945" s="5" t="s">
        <v>2835</v>
      </c>
      <c r="E945" s="3" t="str">
        <f>IFERROR(__xludf.DUMMYFUNCTION("GOOGLETRANSLATE(D945, ""en"", ""zh-tw"")"),"1. 合約規定公司有義務提供支援。 2. 他覺得自己有義務幫助朋友。")</f>
        <v>1. 合約規定公司有義務提供支援。 2. 他覺得自己有義務幫助朋友。</v>
      </c>
    </row>
    <row r="946">
      <c r="A946" s="5" t="s">
        <v>2836</v>
      </c>
      <c r="B946" s="6" t="s">
        <v>2837</v>
      </c>
      <c r="C946" s="5" t="s">
        <v>17</v>
      </c>
      <c r="D946" s="5" t="s">
        <v>2838</v>
      </c>
      <c r="E946" s="3" t="str">
        <f>IFERROR(__xludf.DUMMYFUNCTION("GOOGLETRANSLATE(D946, ""en"", ""zh-tw"")"),"1. 我從2020年起就住在這裡。 2. 因為下雨，我們會待在家裡。 3. 他2019年離開後就杳無音訊。")</f>
        <v>1. 我從2020年起就住在這裡。 2. 因為下雨，我們會待在家裡。 3. 他2019年離開後就杳無音訊。</v>
      </c>
    </row>
    <row r="947">
      <c r="A947" s="5" t="s">
        <v>2839</v>
      </c>
      <c r="B947" s="6" t="s">
        <v>2840</v>
      </c>
      <c r="C947" s="5" t="s">
        <v>7</v>
      </c>
      <c r="D947" s="5" t="s">
        <v>2841</v>
      </c>
      <c r="E947" s="3" t="str">
        <f>IFERROR(__xludf.DUMMYFUNCTION("GOOGLETRANSLATE(D947, ""en"", ""zh-tw"")"),"我們目前住在臨時住所。")</f>
        <v>我們目前住在臨時住所。</v>
      </c>
    </row>
    <row r="948">
      <c r="A948" s="5" t="s">
        <v>2842</v>
      </c>
      <c r="B948" s="6" t="s">
        <v>2843</v>
      </c>
      <c r="C948" s="5" t="s">
        <v>7</v>
      </c>
      <c r="D948" s="5" t="s">
        <v>2844</v>
      </c>
      <c r="E948" s="3" t="str">
        <f>IFERROR(__xludf.DUMMYFUNCTION("GOOGLETRANSLATE(D948, ""en"", ""zh-tw"")"),"1. 這位軍官下達了明確的命令。 2. 這位將軍指揮了部隊。 3. 他的英語很好。")</f>
        <v>1. 這位軍官下達了明確的命令。 2. 這位將軍指揮了部隊。 3. 他的英語很好。</v>
      </c>
    </row>
    <row r="949">
      <c r="A949" s="5" t="s">
        <v>2845</v>
      </c>
      <c r="B949" s="6" t="s">
        <v>2846</v>
      </c>
      <c r="C949" s="5" t="s">
        <v>7</v>
      </c>
      <c r="D949" s="5" t="s">
        <v>2847</v>
      </c>
      <c r="E949" s="3" t="str">
        <f>IFERROR(__xludf.DUMMYFUNCTION("GOOGLETRANSLATE(D949, ""en"", ""zh-tw"")"),"這個問題經常發生。")</f>
        <v>這個問題經常發生。</v>
      </c>
    </row>
    <row r="950">
      <c r="A950" s="5" t="s">
        <v>2848</v>
      </c>
      <c r="B950" s="6" t="s">
        <v>2849</v>
      </c>
      <c r="C950" s="5" t="s">
        <v>7</v>
      </c>
      <c r="D950" s="5" t="s">
        <v>2850</v>
      </c>
      <c r="E950" s="3" t="str">
        <f>IFERROR(__xludf.DUMMYFUNCTION("GOOGLETRANSLATE(D950, ""en"", ""zh-tw"")"),"1. 必須係安全帶。 2. 必須出席會議。")</f>
        <v>1. 必須係安全帶。 2. 必須出席會議。</v>
      </c>
    </row>
    <row r="951">
      <c r="A951" s="5" t="s">
        <v>2851</v>
      </c>
      <c r="B951" s="6" t="s">
        <v>2852</v>
      </c>
      <c r="C951" s="5" t="s">
        <v>17</v>
      </c>
      <c r="D951" s="5" t="s">
        <v>2853</v>
      </c>
      <c r="E951" s="3" t="str">
        <f>IFERROR(__xludf.DUMMYFUNCTION("GOOGLETRANSLATE(D951, ""en"", ""zh-tw"")"),"1. 這項新政策將影響許多工人。 2. 吸煙有害健康。")</f>
        <v>1. 這項新政策將影響許多工人。 2. 吸煙有害健康。</v>
      </c>
    </row>
    <row r="952">
      <c r="A952" s="5" t="s">
        <v>2854</v>
      </c>
      <c r="B952" s="6" t="s">
        <v>2855</v>
      </c>
      <c r="C952" s="5" t="s">
        <v>17</v>
      </c>
      <c r="D952" s="5" t="s">
        <v>2856</v>
      </c>
      <c r="E952" s="3" t="str">
        <f>IFERROR(__xludf.DUMMYFUNCTION("GOOGLETRANSLATE(D952, ""en"", ""zh-tw"")"),"1. 他迴避了這個問題。 2. 她避開了人群密集的地方。")</f>
        <v>1. 他迴避了這個問題。 2. 她避開了人群密集的地方。</v>
      </c>
    </row>
    <row r="953">
      <c r="A953" s="5" t="s">
        <v>2857</v>
      </c>
      <c r="B953" s="6" t="s">
        <v>2858</v>
      </c>
      <c r="C953" s="5" t="s">
        <v>17</v>
      </c>
      <c r="D953" s="5" t="s">
        <v>2859</v>
      </c>
      <c r="E953" s="3" t="str">
        <f>IFERROR(__xludf.DUMMYFUNCTION("GOOGLETRANSLATE(D953, ""en"", ""zh-tw"")"),"1. 我意識到這個問題了。 2. 她意識到了危險。")</f>
        <v>1. 我意識到這個問題了。 2. 她意識到了危險。</v>
      </c>
    </row>
    <row r="954">
      <c r="A954" s="5" t="s">
        <v>2860</v>
      </c>
      <c r="B954" s="6" t="s">
        <v>2861</v>
      </c>
      <c r="C954" s="5" t="s">
        <v>279</v>
      </c>
      <c r="D954" s="5" t="s">
        <v>2862</v>
      </c>
      <c r="E954" s="3" t="str">
        <f>IFERROR(__xludf.DUMMYFUNCTION("GOOGLETRANSLATE(D954, ""en"", ""zh-tw"")"),"1. 通常情況下，這很容易。 2. 我們必須考慮具體情況後再做決定。 3. 在這種情況下，我們應該取消這次旅行。")</f>
        <v>1. 通常情況下，這很容易。 2. 我們必須考慮具體情況後再做決定。 3. 在這種情況下，我們應該取消這次旅行。</v>
      </c>
    </row>
    <row r="955">
      <c r="A955" s="5" t="s">
        <v>2863</v>
      </c>
      <c r="B955" s="6" t="s">
        <v>2864</v>
      </c>
      <c r="C955" s="5" t="s">
        <v>7</v>
      </c>
      <c r="D955" s="5" t="s">
        <v>2865</v>
      </c>
      <c r="E955" s="3" t="str">
        <f>IFERROR(__xludf.DUMMYFUNCTION("GOOGLETRANSLATE(D955, ""en"", ""zh-tw"")"),"1. 人們越來越關注氣候變遷。 2. 這個問題與每個人都息息相關。")</f>
        <v>1. 人們越來越關注氣候變遷。 2. 這個問題與每個人都息息相關。</v>
      </c>
    </row>
    <row r="956">
      <c r="A956" s="5" t="s">
        <v>2866</v>
      </c>
      <c r="B956" s="6" t="s">
        <v>2867</v>
      </c>
      <c r="C956" s="5" t="s">
        <v>17</v>
      </c>
      <c r="D956" s="5" t="s">
        <v>2868</v>
      </c>
      <c r="E956" s="3" t="str">
        <f>IFERROR(__xludf.DUMMYFUNCTION("GOOGLETRANSLATE(D956, ""en"", ""zh-tw"")"),"1. 我差點錯過公車了。 2. 現在快十點了。 3. 這項工作快完成了。")</f>
        <v>1. 我差點錯過公車了。 2. 現在快十點了。 3. 這項工作快完成了。</v>
      </c>
    </row>
    <row r="957">
      <c r="A957" s="5" t="s">
        <v>2869</v>
      </c>
      <c r="B957" s="6" t="s">
        <v>2870</v>
      </c>
      <c r="C957" s="5" t="s">
        <v>7</v>
      </c>
      <c r="D957" s="5" t="s">
        <v>2871</v>
      </c>
      <c r="E957" s="3" t="str">
        <f>IFERROR(__xludf.DUMMYFUNCTION("GOOGLETRANSLATE(D957, ""en"", ""zh-tw"")"),"我喜歡在閒暇時間讀書。")</f>
        <v>我喜歡在閒暇時間讀書。</v>
      </c>
    </row>
    <row r="958">
      <c r="A958" s="5" t="s">
        <v>2872</v>
      </c>
      <c r="B958" s="6" t="s">
        <v>2873</v>
      </c>
      <c r="C958" s="5" t="s">
        <v>279</v>
      </c>
      <c r="D958" s="5" t="s">
        <v>2874</v>
      </c>
      <c r="E958" s="3" t="str">
        <f>IFERROR(__xludf.DUMMYFUNCTION("GOOGLETRANSLATE(D958, ""en"", ""zh-tw"")"),"1. 該國面臨經濟制裁。 2. 政府批准了這項新政策。")</f>
        <v>1. 該國面臨經濟制裁。 2. 政府批准了這項新政策。</v>
      </c>
    </row>
    <row r="959">
      <c r="A959" s="5" t="s">
        <v>2875</v>
      </c>
      <c r="B959" s="6" t="s">
        <v>2876</v>
      </c>
      <c r="C959" s="5" t="s">
        <v>7</v>
      </c>
      <c r="D959" s="5" t="s">
        <v>2877</v>
      </c>
      <c r="E959" s="3" t="str">
        <f>IFERROR(__xludf.DUMMYFUNCTION("GOOGLETRANSLATE(D959, ""en"", ""zh-tw"")"),"該公司正在亞洲尋找新的分銷商。")</f>
        <v>該公司正在亞洲尋找新的分銷商。</v>
      </c>
    </row>
    <row r="960">
      <c r="A960" s="5" t="s">
        <v>2878</v>
      </c>
      <c r="B960" s="6" t="s">
        <v>2879</v>
      </c>
      <c r="C960" s="5" t="s">
        <v>17</v>
      </c>
      <c r="D960" s="5" t="s">
        <v>2880</v>
      </c>
      <c r="E960" s="3" t="str">
        <f>IFERROR(__xludf.DUMMYFUNCTION("GOOGLETRANSLATE(D960, ""en"", ""zh-tw"")"),"我通常在工作日運動。")</f>
        <v>我通常在工作日運動。</v>
      </c>
    </row>
    <row r="961">
      <c r="A961" s="5" t="s">
        <v>2881</v>
      </c>
      <c r="B961" s="6" t="s">
        <v>2882</v>
      </c>
      <c r="C961" s="5" t="s">
        <v>7</v>
      </c>
      <c r="D961" s="5" t="s">
        <v>2883</v>
      </c>
      <c r="E961" s="3" t="str">
        <f>IFERROR(__xludf.DUMMYFUNCTION("GOOGLETRANSLATE(D961, ""en"", ""zh-tw"")"),"1. 我支付了公寓的訂金。 2. 她把錢存入了她的銀行帳戶。")</f>
        <v>1. 我支付了公寓的訂金。 2. 她把錢存入了她的銀行帳戶。</v>
      </c>
    </row>
    <row r="962">
      <c r="A962" s="5" t="s">
        <v>2884</v>
      </c>
      <c r="B962" s="6" t="s">
        <v>2885</v>
      </c>
      <c r="C962" s="5" t="s">
        <v>17</v>
      </c>
      <c r="D962" s="5" t="s">
        <v>2886</v>
      </c>
      <c r="E962" s="3" t="str">
        <f>IFERROR(__xludf.DUMMYFUNCTION("GOOGLETRANSLATE(D962, ""en"", ""zh-tw"")"),"餐館老闆決定今天提早關門。")</f>
        <v>餐館老闆決定今天提早關門。</v>
      </c>
    </row>
    <row r="963">
      <c r="A963" s="5" t="s">
        <v>2887</v>
      </c>
      <c r="B963" s="6" t="s">
        <v>2888</v>
      </c>
      <c r="C963" s="5" t="s">
        <v>7</v>
      </c>
      <c r="D963" s="5" t="s">
        <v>2889</v>
      </c>
      <c r="E963" s="3" t="str">
        <f>IFERROR(__xludf.DUMMYFUNCTION("GOOGLETRANSLATE(D963, ""en"", ""zh-tw"")"),"兩家公司之間的競爭非常激烈。")</f>
        <v>兩家公司之間的競爭非常激烈。</v>
      </c>
    </row>
    <row r="964">
      <c r="A964" s="5" t="s">
        <v>2890</v>
      </c>
      <c r="B964" s="6" t="s">
        <v>2891</v>
      </c>
      <c r="C964" s="5" t="s">
        <v>17</v>
      </c>
      <c r="D964" s="5" t="s">
        <v>2892</v>
      </c>
      <c r="E964" s="3" t="str">
        <f>IFERROR(__xludf.DUMMYFUNCTION("GOOGLETRANSLATE(D964, ""en"", ""zh-tw"")"),"1. 這艘船正在碼頭等待卸貨。 2. 警方扣押了嫌犯的手機進行調查。")</f>
        <v>1. 這艘船正在碼頭等待卸貨。 2. 警方扣押了嫌犯的手機進行調查。</v>
      </c>
    </row>
    <row r="965">
      <c r="A965" s="5" t="s">
        <v>2893</v>
      </c>
      <c r="B965" s="6" t="s">
        <v>2894</v>
      </c>
      <c r="C965" s="5" t="s">
        <v>279</v>
      </c>
      <c r="D965" s="5" t="s">
        <v>2895</v>
      </c>
      <c r="E965" s="3" t="str">
        <f>IFERROR(__xludf.DUMMYFUNCTION("GOOGLETRANSLATE(D965, ""en"", ""zh-tw"")"),"1. 學校公告公佈了期末考時間表。 2. 由於颱風，今天早上發布了天氣預報。")</f>
        <v>1. 學校公告公佈了期末考時間表。 2. 由於颱風，今天早上發布了天氣預報。</v>
      </c>
    </row>
    <row r="966">
      <c r="A966" s="5" t="s">
        <v>2896</v>
      </c>
      <c r="B966" s="6" t="s">
        <v>2897</v>
      </c>
      <c r="C966" s="5" t="s">
        <v>7</v>
      </c>
      <c r="D966" s="5" t="s">
        <v>2898</v>
      </c>
      <c r="E966" s="3" t="str">
        <f>IFERROR(__xludf.DUMMYFUNCTION("GOOGLETRANSLATE(D966, ""en"", ""zh-tw"")"),"1. 經理向我們保證專案會準時完成。 2. 她在演講中表現得非常有自信。")</f>
        <v>1. 經理向我們保證專案會準時完成。 2. 她在演講中表現得非常有自信。</v>
      </c>
    </row>
    <row r="967">
      <c r="A967" s="5" t="s">
        <v>2899</v>
      </c>
      <c r="B967" s="6" t="s">
        <v>2900</v>
      </c>
      <c r="C967" s="5" t="s">
        <v>7</v>
      </c>
      <c r="D967" s="5" t="s">
        <v>2901</v>
      </c>
      <c r="E967" s="3" t="str">
        <f>IFERROR(__xludf.DUMMYFUNCTION("GOOGLETRANSLATE(D967, ""en"", ""zh-tw"")"),"1. 數學不是我的專長。 2. 該公司為其網站註冊了一個新網域。")</f>
        <v>1. 數學不是我的專長。 2. 該公司為其網站註冊了一個新網域。</v>
      </c>
    </row>
    <row r="968">
      <c r="A968" s="5" t="s">
        <v>2902</v>
      </c>
      <c r="B968" s="6" t="s">
        <v>2903</v>
      </c>
      <c r="C968" s="5" t="s">
        <v>279</v>
      </c>
      <c r="D968" s="5" t="s">
        <v>2904</v>
      </c>
      <c r="E968" s="3" t="str">
        <f>IFERROR(__xludf.DUMMYFUNCTION("GOOGLETRANSLATE(D968, ""en"", ""zh-tw"")"),"1. 系統會在註冊前驗證您的電子郵件地址。 2. 我們需要驗證資料後才能做出決定。")</f>
        <v>1. 系統會在註冊前驗證您的電子郵件地址。 2. 我們需要驗證資料後才能做出決定。</v>
      </c>
    </row>
    <row r="969">
      <c r="A969" s="5" t="s">
        <v>2905</v>
      </c>
      <c r="B969" s="6" t="s">
        <v>2906</v>
      </c>
      <c r="C969" s="5" t="s">
        <v>17</v>
      </c>
      <c r="D969" s="5" t="s">
        <v>2907</v>
      </c>
      <c r="E969" s="3" t="str">
        <f>IFERROR(__xludf.DUMMYFUNCTION("GOOGLETRANSLATE(D969, ""en"", ""zh-tw"")"),"我今天早上從麵包店買了新鮮出爐的麵包。")</f>
        <v>我今天早上從麵包店買了新鮮出爐的麵包。</v>
      </c>
    </row>
    <row r="970">
      <c r="A970" s="5" t="s">
        <v>2908</v>
      </c>
      <c r="B970" s="6" t="s">
        <v>2909</v>
      </c>
      <c r="C970" s="5" t="s">
        <v>7</v>
      </c>
      <c r="D970" s="5" t="s">
        <v>2910</v>
      </c>
      <c r="E970" s="3" t="str">
        <f>IFERROR(__xludf.DUMMYFUNCTION("GOOGLETRANSLATE(D970, ""en"", ""zh-tw"")"),"1. 公司資料庫發生安全漏洞。 2. 供應商違反了合約。")</f>
        <v>1. 公司資料庫發生安全漏洞。 2. 供應商違反了合約。</v>
      </c>
    </row>
    <row r="971">
      <c r="A971" s="5" t="s">
        <v>2911</v>
      </c>
      <c r="B971" s="6" t="s">
        <v>2912</v>
      </c>
      <c r="C971" s="5" t="s">
        <v>17</v>
      </c>
      <c r="D971" s="5" t="s">
        <v>2913</v>
      </c>
      <c r="E971" s="3" t="str">
        <f>IFERROR(__xludf.DUMMYFUNCTION("GOOGLETRANSLATE(D971, ""en"", ""zh-tw"")"),"1. 我去診所是因為我得了重感冒。 2. 這所大學為學生提供免費的心理諮商服務。")</f>
        <v>1. 我去診所是因為我得了重感冒。 2. 這所大學為學生提供免費的心理諮商服務。</v>
      </c>
    </row>
    <row r="972">
      <c r="A972" s="5" t="s">
        <v>2914</v>
      </c>
      <c r="B972" s="6" t="s">
        <v>2915</v>
      </c>
      <c r="C972" s="5" t="s">
        <v>7</v>
      </c>
      <c r="D972" s="5" t="s">
        <v>2916</v>
      </c>
      <c r="E972" s="3" t="str">
        <f>IFERROR(__xludf.DUMMYFUNCTION("GOOGLETRANSLATE(D972, ""en"", ""zh-tw"")"),"提前24小時取消機票可退款。")</f>
        <v>提前24小時取消機票可退款。</v>
      </c>
    </row>
    <row r="973">
      <c r="A973" s="5" t="s">
        <v>2917</v>
      </c>
      <c r="B973" s="6" t="s">
        <v>2918</v>
      </c>
      <c r="C973" s="5" t="s">
        <v>7</v>
      </c>
      <c r="D973" s="5" t="s">
        <v>2919</v>
      </c>
      <c r="E973" s="3" t="str">
        <f>IFERROR(__xludf.DUMMYFUNCTION("GOOGLETRANSLATE(D973, ""en"", ""zh-tw"")"),"我們在主菜之前點了一份開胃菜。")</f>
        <v>我們在主菜之前點了一份開胃菜。</v>
      </c>
    </row>
    <row r="974">
      <c r="A974" s="5" t="s">
        <v>2920</v>
      </c>
      <c r="B974" s="6" t="s">
        <v>2921</v>
      </c>
      <c r="C974" s="5" t="s">
        <v>7</v>
      </c>
      <c r="D974" s="5" t="s">
        <v>2922</v>
      </c>
      <c r="E974" s="3" t="str">
        <f>IFERROR(__xludf.DUMMYFUNCTION("GOOGLETRANSLATE(D974, ""en"", ""zh-tw"")"),"1. 考試前她感到非常焦慮。 2. 他對未來的焦慮影響了他的睡眠。")</f>
        <v>1. 考試前她感到非常焦慮。 2. 他對未來的焦慮影響了他的睡眠。</v>
      </c>
    </row>
    <row r="975">
      <c r="A975" s="5" t="s">
        <v>2923</v>
      </c>
      <c r="B975" s="6" t="s">
        <v>2924</v>
      </c>
      <c r="C975" s="5" t="s">
        <v>17</v>
      </c>
      <c r="D975" s="5" t="s">
        <v>2925</v>
      </c>
      <c r="E975" s="3" t="str">
        <f>IFERROR(__xludf.DUMMYFUNCTION("GOOGLETRANSLATE(D975, ""en"", ""zh-tw"")"),"1. 這次活動由多家公司贊助舉辦。 2. 她申請了一個運動贊助，以支持她的訓練。")</f>
        <v>1. 這次活動由多家公司贊助舉辦。 2. 她申請了一個運動贊助，以支持她的訓練。</v>
      </c>
    </row>
    <row r="976">
      <c r="A976" s="5" t="s">
        <v>2926</v>
      </c>
      <c r="B976" s="6" t="s">
        <v>2927</v>
      </c>
      <c r="C976" s="5" t="s">
        <v>17</v>
      </c>
      <c r="D976" s="5" t="s">
        <v>2928</v>
      </c>
      <c r="E976" s="3" t="str">
        <f>IFERROR(__xludf.DUMMYFUNCTION("GOOGLETRANSLATE(D976, ""en"", ""zh-tw"")"),"1. 該計畫已於昨日正式啟動。 2. 她現在正式成為團隊的一員了。")</f>
        <v>1. 該計畫已於昨日正式啟動。 2. 她現在正式成為團隊的一員了。</v>
      </c>
    </row>
    <row r="977">
      <c r="A977" s="5" t="s">
        <v>2929</v>
      </c>
      <c r="B977" s="6" t="s">
        <v>2930</v>
      </c>
      <c r="C977" s="5" t="s">
        <v>7</v>
      </c>
      <c r="D977" s="5" t="s">
        <v>2931</v>
      </c>
      <c r="E977" s="3" t="str">
        <f>IFERROR(__xludf.DUMMYFUNCTION("GOOGLETRANSLATE(D977, ""en"", ""zh-tw"")"),"零售商以較低的價格向批發商購買產品。")</f>
        <v>零售商以較低的價格向批發商購買產品。</v>
      </c>
    </row>
    <row r="978">
      <c r="A978" s="5" t="s">
        <v>2932</v>
      </c>
      <c r="B978" s="6" t="s">
        <v>2933</v>
      </c>
      <c r="C978" s="5" t="s">
        <v>279</v>
      </c>
      <c r="D978" s="5" t="s">
        <v>2934</v>
      </c>
      <c r="E978" s="3" t="str">
        <f>IFERROR(__xludf.DUMMYFUNCTION("GOOGLETRANSLATE(D978, ""en"", ""zh-tw"")"),"1. 這家商店寄售當地設計師的服裝。 2. 一批醫療用品已運抵醫院。")</f>
        <v>1. 這家商店寄售當地設計師的服裝。 2. 一批醫療用品已運抵醫院。</v>
      </c>
    </row>
    <row r="979">
      <c r="A979" s="5" t="s">
        <v>2935</v>
      </c>
      <c r="B979" s="6" t="s">
        <v>2936</v>
      </c>
      <c r="C979" s="5" t="s">
        <v>7</v>
      </c>
      <c r="D979" s="5" t="s">
        <v>2937</v>
      </c>
      <c r="E979" s="3" t="str">
        <f>IFERROR(__xludf.DUMMYFUNCTION("GOOGLETRANSLATE(D979, ""en"", ""zh-tw"")"),"1. 該公司以優質服務享有良好聲譽。 2. 醜聞曝光後，他的名譽受損。")</f>
        <v>1. 該公司以優質服務享有良好聲譽。 2. 醜聞曝光後，他的名譽受損。</v>
      </c>
    </row>
    <row r="980">
      <c r="A980" s="5" t="s">
        <v>2938</v>
      </c>
      <c r="B980" s="6" t="s">
        <v>2939</v>
      </c>
      <c r="C980" s="5" t="s">
        <v>7</v>
      </c>
      <c r="D980" s="5" t="s">
        <v>2940</v>
      </c>
      <c r="E980" s="3" t="str">
        <f>IFERROR(__xludf.DUMMYFUNCTION("GOOGLETRANSLATE(D980, ""en"", ""zh-tw"")"),"1. 請在報告中包含所有相關資訊。 2. 這篇文章與我們討論的主題無關。")</f>
        <v>1. 請在報告中包含所有相關資訊。 2. 這篇文章與我們討論的主題無關。</v>
      </c>
    </row>
    <row r="981">
      <c r="A981" s="5" t="s">
        <v>2941</v>
      </c>
      <c r="B981" s="6" t="s">
        <v>2942</v>
      </c>
      <c r="C981" s="5" t="s">
        <v>17</v>
      </c>
      <c r="D981" s="5" t="s">
        <v>2943</v>
      </c>
      <c r="E981" s="3" t="str">
        <f>IFERROR(__xludf.DUMMYFUNCTION("GOOGLETRANSLATE(D981, ""en"", ""zh-tw"")"),"1. 我得利用周末時間把作業做完。 2. 我們找個時間一起喝咖啡聊聊吧。")</f>
        <v>1. 我得利用周末時間把作業做完。 2. 我們找個時間一起喝咖啡聊聊吧。</v>
      </c>
    </row>
    <row r="982">
      <c r="A982" s="5" t="s">
        <v>2944</v>
      </c>
      <c r="B982" s="6" t="s">
        <v>2945</v>
      </c>
      <c r="C982" s="5" t="s">
        <v>17</v>
      </c>
      <c r="D982" s="5" t="s">
        <v>2946</v>
      </c>
      <c r="E982" s="3" t="str">
        <f>IFERROR(__xludf.DUMMYFUNCTION("GOOGLETRANSLATE(D982, ""en"", ""zh-tw"")"),"今天早上高速公路交通擁擠。")</f>
        <v>今天早上高速公路交通擁擠。</v>
      </c>
    </row>
    <row r="983">
      <c r="A983" s="5" t="s">
        <v>2947</v>
      </c>
      <c r="B983" s="6" t="s">
        <v>2948</v>
      </c>
      <c r="C983" s="5" t="s">
        <v>7</v>
      </c>
      <c r="D983" s="5" t="s">
        <v>2949</v>
      </c>
      <c r="E983" s="3" t="str">
        <f>IFERROR(__xludf.DUMMYFUNCTION("GOOGLETRANSLATE(D983, ""en"", ""zh-tw"")"),"1. 房子的所有權轉移給了他的兒子。 2. 公司去年更換了所有者。")</f>
        <v>1. 房子的所有權轉移給了他的兒子。 2. 公司去年更換了所有者。</v>
      </c>
    </row>
    <row r="984">
      <c r="A984" s="5" t="s">
        <v>2950</v>
      </c>
      <c r="B984" s="6" t="s">
        <v>2951</v>
      </c>
      <c r="C984" s="5" t="s">
        <v>7</v>
      </c>
      <c r="D984" s="5" t="s">
        <v>2952</v>
      </c>
      <c r="E984" s="3" t="str">
        <f>IFERROR(__xludf.DUMMYFUNCTION("GOOGLETRANSLATE(D984, ""en"", ""zh-tw"")"),"1. 該公司在品牌策略方面投入大量資金。 2. 強大的品牌有助於產品在市場中脫穎而出。")</f>
        <v>1. 該公司在品牌策略方面投入大量資金。 2. 強大的品牌有助於產品在市場中脫穎而出。</v>
      </c>
    </row>
    <row r="985">
      <c r="A985" s="5" t="s">
        <v>2953</v>
      </c>
      <c r="B985" s="6" t="s">
        <v>2954</v>
      </c>
      <c r="C985" s="5" t="s">
        <v>7</v>
      </c>
      <c r="D985" s="5" t="s">
        <v>2955</v>
      </c>
      <c r="E985" s="3" t="str">
        <f>IFERROR(__xludf.DUMMYFUNCTION("GOOGLETRANSLATE(D985, ""en"", ""zh-tw"")"),"1. 這款筆記型電腦輕鬆易攜。 2. 他是比賽中的輕量級拳擊手。")</f>
        <v>1. 這款筆記型電腦輕鬆易攜。 2. 他是比賽中的輕量級拳擊手。</v>
      </c>
    </row>
    <row r="986">
      <c r="A986" s="5" t="s">
        <v>2956</v>
      </c>
      <c r="B986" s="6" t="s">
        <v>2957</v>
      </c>
      <c r="C986" s="5" t="s">
        <v>7</v>
      </c>
      <c r="D986" s="5" t="s">
        <v>2958</v>
      </c>
      <c r="E986" s="3" t="str">
        <f>IFERROR(__xludf.DUMMYFUNCTION("GOOGLETRANSLATE(D986, ""en"", ""zh-tw"")"),"1. 新產品上市後獲得了大量關注。 2. 她避免拋頭露面，更喜歡保持低調。")</f>
        <v>1. 新產品上市後獲得了大量關注。 2. 她避免拋頭露面，更喜歡保持低調。</v>
      </c>
    </row>
    <row r="987">
      <c r="A987" s="5" t="s">
        <v>2959</v>
      </c>
      <c r="B987" s="6" t="s">
        <v>2960</v>
      </c>
      <c r="C987" s="5" t="s">
        <v>17</v>
      </c>
      <c r="D987" s="5" t="s">
        <v>2961</v>
      </c>
      <c r="E987" s="3" t="str">
        <f>IFERROR(__xludf.DUMMYFUNCTION("GOOGLETRANSLATE(D987, ""en"", ""zh-tw"")"),"1. 我今天早上從麵包店買了一些糕點。 2. 這位廚師很擅長製作酥皮點心。")</f>
        <v>1. 我今天早上從麵包店買了一些糕點。 2. 這位廚師很擅長製作酥皮點心。</v>
      </c>
    </row>
    <row r="988">
      <c r="A988" s="5" t="s">
        <v>2962</v>
      </c>
      <c r="B988" s="6" t="s">
        <v>2963</v>
      </c>
      <c r="C988" s="5" t="s">
        <v>17</v>
      </c>
      <c r="D988" s="5" t="s">
        <v>2964</v>
      </c>
      <c r="E988" s="3" t="str">
        <f>IFERROR(__xludf.DUMMYFUNCTION("GOOGLETRANSLATE(D988, ""en"", ""zh-tw"")"),"請將您的行李放在輸送帶上。")</f>
        <v>請將您的行李放在輸送帶上。</v>
      </c>
    </row>
    <row r="989">
      <c r="A989" s="5" t="s">
        <v>2965</v>
      </c>
      <c r="B989" s="6" t="s">
        <v>2966</v>
      </c>
      <c r="C989" s="5" t="s">
        <v>17</v>
      </c>
      <c r="D989" s="5" t="s">
        <v>2967</v>
      </c>
      <c r="E989" s="3" t="str">
        <f>IFERROR(__xludf.DUMMYFUNCTION("GOOGLETRANSLATE(D989, ""en"", ""zh-tw"")"),"公司發放傳單宣傳新店開幕。")</f>
        <v>公司發放傳單宣傳新店開幕。</v>
      </c>
    </row>
    <row r="990">
      <c r="A990" s="5" t="s">
        <v>2968</v>
      </c>
      <c r="B990" s="6" t="s">
        <v>2969</v>
      </c>
      <c r="C990" s="5" t="s">
        <v>7</v>
      </c>
      <c r="D990" s="5" t="s">
        <v>2970</v>
      </c>
      <c r="E990" s="3" t="str">
        <f>IFERROR(__xludf.DUMMYFUNCTION("GOOGLETRANSLATE(D990, ""en"", ""zh-tw"")"),"1. 設計簡潔但功能強大。 2. 事故發生後，機器已無法使用。")</f>
        <v>1. 設計簡潔但功能強大。 2. 事故發生後，機器已無法使用。</v>
      </c>
    </row>
    <row r="991">
      <c r="A991" s="5" t="s">
        <v>2971</v>
      </c>
      <c r="B991" s="6" t="s">
        <v>2972</v>
      </c>
      <c r="C991" s="5" t="s">
        <v>17</v>
      </c>
      <c r="D991" s="5" t="s">
        <v>2973</v>
      </c>
      <c r="E991" s="3" t="str">
        <f>IFERROR(__xludf.DUMMYFUNCTION("GOOGLETRANSLATE(D991, ""en"", ""zh-tw"")"),"我買了下週音樂會的票。")</f>
        <v>我買了下週音樂會的票。</v>
      </c>
    </row>
    <row r="992">
      <c r="A992" s="5" t="s">
        <v>2974</v>
      </c>
      <c r="B992" s="6" t="s">
        <v>2975</v>
      </c>
      <c r="C992" s="5" t="s">
        <v>7</v>
      </c>
      <c r="D992" s="5" t="s">
        <v>2976</v>
      </c>
      <c r="E992" s="3" t="str">
        <f>IFERROR(__xludf.DUMMYFUNCTION("GOOGLETRANSLATE(D992, ""en"", ""zh-tw"")"),"1. 她察覺到他的態度改變了。 2. 他的團隊認為他是一位優秀的領導者。")</f>
        <v>1. 她察覺到他的態度改變了。 2. 他的團隊認為他是一位優秀的領導者。</v>
      </c>
    </row>
    <row r="993">
      <c r="A993" s="5" t="s">
        <v>2977</v>
      </c>
      <c r="B993" s="6" t="s">
        <v>2978</v>
      </c>
      <c r="C993" s="5" t="s">
        <v>7</v>
      </c>
      <c r="D993" s="5" t="s">
        <v>2979</v>
      </c>
      <c r="E993" s="3" t="str">
        <f>IFERROR(__xludf.DUMMYFUNCTION("GOOGLETRANSLATE(D993, ""en"", ""zh-tw"")"),"1. 這面旗幟掛在一根高高的旗桿上。 2. 他爬上旗桿去修理標示牌。")</f>
        <v>1. 這面旗幟掛在一根高高的旗桿上。 2. 他爬上旗桿去修理標示牌。</v>
      </c>
    </row>
    <row r="994">
      <c r="A994" s="5" t="s">
        <v>2980</v>
      </c>
      <c r="B994" s="6" t="s">
        <v>2981</v>
      </c>
      <c r="C994" s="5" t="s">
        <v>279</v>
      </c>
      <c r="D994" s="5" t="s">
        <v>2982</v>
      </c>
      <c r="E994" s="3" t="str">
        <f>IFERROR(__xludf.DUMMYFUNCTION("GOOGLETRANSLATE(D994, ""en"", ""zh-tw"")"),"1. 該公司削減了開支以提高利潤。 2. 今年政府在醫療保健方面的支出增加。")</f>
        <v>1. 該公司削減了開支以提高利潤。 2. 今年政府在醫療保健方面的支出增加。</v>
      </c>
    </row>
    <row r="995">
      <c r="A995" s="5" t="s">
        <v>2983</v>
      </c>
      <c r="B995" s="6" t="s">
        <v>2984</v>
      </c>
      <c r="C995" s="5" t="s">
        <v>279</v>
      </c>
      <c r="D995" s="5" t="s">
        <v>2985</v>
      </c>
      <c r="E995" s="3" t="str">
        <f>IFERROR(__xludf.DUMMYFUNCTION("GOOGLETRANSLATE(D995, ""en"", ""zh-tw"")"),"1. 這家商店銷售的商品種類繁多。 2. 該品牌主要透過線上平台進行銷售。")</f>
        <v>1. 這家商店銷售的商品種類繁多。 2. 該品牌主要透過線上平台進行銷售。</v>
      </c>
    </row>
    <row r="996">
      <c r="A996" s="5" t="s">
        <v>2986</v>
      </c>
      <c r="B996" s="6" t="s">
        <v>2987</v>
      </c>
      <c r="C996" s="5" t="s">
        <v>7</v>
      </c>
      <c r="D996" s="5" t="s">
        <v>2988</v>
      </c>
      <c r="E996" s="3" t="str">
        <f>IFERROR(__xludf.DUMMYFUNCTION("GOOGLETRANSLATE(D996, ""en"", ""zh-tw"")"),"緊急情況下請撥打此號碼。")</f>
        <v>緊急情況下請撥打此號碼。</v>
      </c>
    </row>
    <row r="997">
      <c r="A997" s="5" t="s">
        <v>2989</v>
      </c>
      <c r="B997" s="6" t="s">
        <v>2990</v>
      </c>
      <c r="C997" s="5" t="s">
        <v>7</v>
      </c>
      <c r="D997" s="5" t="s">
        <v>2991</v>
      </c>
      <c r="E997" s="3" t="str">
        <f>IFERROR(__xludf.DUMMYFUNCTION("GOOGLETRANSLATE(D997, ""en"", ""zh-tw"")"),"1. 這艘船在清晨抵達港口。 2. 該軟體被移植到新的作業系統。")</f>
        <v>1. 這艘船在清晨抵達港口。 2. 該軟體被移植到新的作業系統。</v>
      </c>
    </row>
    <row r="998">
      <c r="A998" s="5" t="s">
        <v>2992</v>
      </c>
      <c r="B998" s="6" t="s">
        <v>2993</v>
      </c>
      <c r="C998" s="5" t="s">
        <v>7</v>
      </c>
      <c r="D998" s="5" t="s">
        <v>2994</v>
      </c>
      <c r="E998" s="3" t="str">
        <f>IFERROR(__xludf.DUMMYFUNCTION("GOOGLETRANSLATE(D998, ""en"", ""zh-tw"")"),"1. 這家商店本週末有特價促銷活動。 2. 她努力工作三年後獲得了升遷。")</f>
        <v>1. 這家商店本週末有特價促銷活動。 2. 她努力工作三年後獲得了升遷。</v>
      </c>
    </row>
    <row r="999">
      <c r="A999" s="5" t="s">
        <v>2995</v>
      </c>
      <c r="B999" s="6" t="s">
        <v>2996</v>
      </c>
      <c r="C999" s="5" t="s">
        <v>7</v>
      </c>
      <c r="D999" s="5" t="s">
        <v>2997</v>
      </c>
      <c r="E999" s="3" t="str">
        <f>IFERROR(__xludf.DUMMYFUNCTION("GOOGLETRANSLATE(D999, ""en"", ""zh-tw"")"),"1. 訓犬員訓練警犬執行特殊任務。 2. 活動組織者迅速解決了問題。")</f>
        <v>1. 訓犬員訓練警犬執行特殊任務。 2. 活動組織者迅速解決了問題。</v>
      </c>
    </row>
    <row r="1000">
      <c r="A1000" s="5" t="s">
        <v>2998</v>
      </c>
      <c r="B1000" s="6" t="s">
        <v>2999</v>
      </c>
      <c r="C1000" s="5" t="s">
        <v>7</v>
      </c>
      <c r="D1000" s="5" t="s">
        <v>3000</v>
      </c>
      <c r="E1000" s="3" t="str">
        <f>IFERROR(__xludf.DUMMYFUNCTION("GOOGLETRANSLATE(D1000, ""en"", ""zh-tw"")"),"1. 貨物正在運往倉庫的途中。 2. 旅客無需簽證即可過境機場。")</f>
        <v>1. 貨物正在運往倉庫的途中。 2. 旅客無需簽證即可過境機場。</v>
      </c>
    </row>
    <row r="1001">
      <c r="A1001" s="5" t="s">
        <v>3001</v>
      </c>
      <c r="B1001" s="6" t="s">
        <v>3002</v>
      </c>
      <c r="C1001" s="5" t="s">
        <v>7</v>
      </c>
      <c r="D1001" s="5" t="s">
        <v>3003</v>
      </c>
      <c r="E1001" s="3" t="str">
        <f>IFERROR(__xludf.DUMMYFUNCTION("GOOGLETRANSLATE(D1001, ""en"", ""zh-tw"")"),"1. 他每個月的收入足以養家。 2. 該公司本季獲利強勁。")</f>
        <v>1. 他每個月的收入足以養家。 2. 該公司本季獲利強勁。</v>
      </c>
    </row>
    <row r="1002">
      <c r="A1002" s="5" t="s">
        <v>3004</v>
      </c>
      <c r="B1002" s="6" t="s">
        <v>3005</v>
      </c>
      <c r="C1002" s="5" t="s">
        <v>7</v>
      </c>
      <c r="D1002" s="5" t="s">
        <v>3006</v>
      </c>
      <c r="E1002" s="3" t="str">
        <f>IFERROR(__xludf.DUMMYFUNCTION("GOOGLETRANSLATE(D1002, ""en"", ""zh-tw"")"),"1. 公司發起了一項全國性活動。新政策將在全國實施。")</f>
        <v>1. 公司發起了一項全國性活動。新政策將在全國實施。</v>
      </c>
    </row>
    <row r="1003">
      <c r="A1003" s="5" t="s">
        <v>3007</v>
      </c>
      <c r="B1003" s="6" t="s">
        <v>3008</v>
      </c>
      <c r="C1003" s="5" t="s">
        <v>7</v>
      </c>
      <c r="D1003" s="5" t="s">
        <v>3009</v>
      </c>
      <c r="E1003" s="3" t="str">
        <f>IFERROR(__xludf.DUMMYFUNCTION("GOOGLETRANSLATE(D1003, ""en"", ""zh-tw"")"),"1. 我們在機場候機室等飛機。 2. 他整個下午都懶洋洋地躺在沙發上。")</f>
        <v>1. 我們在機場候機室等飛機。 2. 他整個下午都懶洋洋地躺在沙發上。</v>
      </c>
    </row>
    <row r="1004">
      <c r="A1004" s="5" t="s">
        <v>3010</v>
      </c>
      <c r="B1004" s="6" t="s">
        <v>3011</v>
      </c>
      <c r="C1004" s="5" t="s">
        <v>7</v>
      </c>
      <c r="D1004" s="5" t="s">
        <v>3012</v>
      </c>
      <c r="E1004" s="3" t="str">
        <f>IFERROR(__xludf.DUMMYFUNCTION("GOOGLETRANSLATE(D1004, ""en"", ""zh-tw"")"),"1. 快遞公司按時送達了包裹。 2. 他是病毒帶因者，但沒有出現任何症狀。")</f>
        <v>1. 快遞公司按時送達了包裹。 2. 他是病毒帶因者，但沒有出現任何症狀。</v>
      </c>
    </row>
    <row r="1005">
      <c r="A1005" s="5" t="s">
        <v>3013</v>
      </c>
      <c r="B1005" s="6" t="s">
        <v>3014</v>
      </c>
      <c r="C1005" s="5" t="s">
        <v>7</v>
      </c>
      <c r="D1005" s="5" t="s">
        <v>3015</v>
      </c>
      <c r="E1005" s="3" t="str">
        <f>IFERROR(__xludf.DUMMYFUNCTION("GOOGLETRANSLATE(D1005, ""en"", ""zh-tw"")"),"1. 購買產品前應先比較價格。 2. 讓我們仔細比較這兩種選擇。")</f>
        <v>1. 購買產品前應先比較價格。 2. 讓我們仔細比較這兩種選擇。</v>
      </c>
    </row>
    <row r="1006">
      <c r="A1006" s="5" t="s">
        <v>3016</v>
      </c>
      <c r="B1006" s="6" t="s">
        <v>3017</v>
      </c>
      <c r="C1006" s="5" t="s">
        <v>279</v>
      </c>
      <c r="D1006" s="5" t="s">
        <v>3018</v>
      </c>
      <c r="E1006" s="3" t="str">
        <f>IFERROR(__xludf.DUMMYFUNCTION("GOOGLETRANSLATE(D1006, ""en"", ""zh-tw"")"),"1. 工作人員對所有顧客都彬彬有禮、熱情周到。 2. 當有人幫助你時，說「謝謝」是一種禮貌。")</f>
        <v>1. 工作人員對所有顧客都彬彬有禮、熱情周到。 2. 當有人幫助你時，說「謝謝」是一種禮貌。</v>
      </c>
    </row>
    <row r="1007">
      <c r="A1007" s="5" t="s">
        <v>3019</v>
      </c>
      <c r="B1007" s="6" t="s">
        <v>3020</v>
      </c>
      <c r="C1007" s="5" t="s">
        <v>17</v>
      </c>
      <c r="D1007" s="5" t="s">
        <v>3021</v>
      </c>
      <c r="E1007" s="3" t="str">
        <f>IFERROR(__xludf.DUMMYFUNCTION("GOOGLETRANSLATE(D1007, ""en"", ""zh-tw"")"),"1. 公民可以參加全國選舉投票。 2. 該提案以多數票獲得通過。")</f>
        <v>1. 公民可以參加全國選舉投票。 2. 該提案以多數票獲得通過。</v>
      </c>
    </row>
    <row r="1008">
      <c r="A1008" s="5" t="s">
        <v>3022</v>
      </c>
      <c r="B1008" s="6" t="s">
        <v>3023</v>
      </c>
      <c r="C1008" s="5" t="s">
        <v>7</v>
      </c>
      <c r="D1008" s="5" t="s">
        <v>3024</v>
      </c>
      <c r="E1008" s="3" t="str">
        <f>IFERROR(__xludf.DUMMYFUNCTION("GOOGLETRANSLATE(D1008, ""en"", ""zh-tw"")"),"健康飲食可以降低罹病風險。")</f>
        <v>健康飲食可以降低罹病風險。</v>
      </c>
    </row>
    <row r="1009">
      <c r="A1009" s="5" t="s">
        <v>3025</v>
      </c>
      <c r="B1009" s="6" t="s">
        <v>3026</v>
      </c>
      <c r="C1009" s="5" t="s">
        <v>279</v>
      </c>
      <c r="D1009" s="5" t="s">
        <v>3027</v>
      </c>
      <c r="E1009" s="3" t="str">
        <f>IFERROR(__xludf.DUMMYFUNCTION("GOOGLETRANSLATE(D1009, ""en"", ""zh-tw"")"),"1. 該公司利用其品牌聲譽作為槓桿，進入新市場。 2. 我們應該利用現有資源來提高效率。")</f>
        <v>1. 該公司利用其品牌聲譽作為槓桿，進入新市場。 2. 我們應該利用現有資源來提高效率。</v>
      </c>
    </row>
    <row r="1010">
      <c r="A1010" s="5" t="s">
        <v>3028</v>
      </c>
      <c r="B1010" s="6" t="s">
        <v>3029</v>
      </c>
      <c r="C1010" s="5" t="s">
        <v>7</v>
      </c>
      <c r="D1010" s="5" t="s">
        <v>3030</v>
      </c>
      <c r="E1010" s="3" t="str">
        <f>IFERROR(__xludf.DUMMYFUNCTION("GOOGLETRANSLATE(D1010, ""en"", ""zh-tw"")"),"1. 公司提供自由工作者共享工作空間。 2. 您可以自訂您的數位工作空間，以提高效率。")</f>
        <v>1. 公司提供自由工作者共享工作空間。 2. 您可以自訂您的數位工作空間，以提高效率。</v>
      </c>
    </row>
    <row r="1011">
      <c r="A1011" s="5" t="s">
        <v>3031</v>
      </c>
      <c r="B1011" s="6" t="s">
        <v>3032</v>
      </c>
      <c r="C1011" s="5" t="s">
        <v>7</v>
      </c>
      <c r="D1011" s="5" t="s">
        <v>3033</v>
      </c>
      <c r="E1011" s="3" t="str">
        <f>IFERROR(__xludf.DUMMYFUNCTION("GOOGLETRANSLATE(D1011, ""en"", ""zh-tw"")"),"1. 該應用程式可幫助駕駛者在擁擠的交通中行駛。 2. 她成功地完成了艱難的職業轉型。")</f>
        <v>1. 該應用程式可幫助駕駛者在擁擠的交通中行駛。 2. 她成功地完成了艱難的職業轉型。</v>
      </c>
    </row>
    <row r="1012">
      <c r="A1012" s="5" t="s">
        <v>3034</v>
      </c>
      <c r="B1012" s="6" t="s">
        <v>3035</v>
      </c>
      <c r="C1012" s="5" t="s">
        <v>7</v>
      </c>
      <c r="D1012" s="5" t="s">
        <v>3036</v>
      </c>
      <c r="E1012" s="3" t="str">
        <f>IFERROR(__xludf.DUMMYFUNCTION("GOOGLETRANSLATE(D1012, ""en"", ""zh-tw"")"),"1. 他加班加點來彌補損失的時間。 2. 任何事都無法彌補這個錯誤所造成的損失。")</f>
        <v>1. 他加班加點來彌補損失的時間。 2. 任何事都無法彌補這個錯誤所造成的損失。</v>
      </c>
    </row>
    <row r="1013">
      <c r="A1013" s="5" t="s">
        <v>3037</v>
      </c>
      <c r="B1013" s="6" t="s">
        <v>3038</v>
      </c>
      <c r="C1013" s="5" t="s">
        <v>7</v>
      </c>
      <c r="D1013" s="5" t="s">
        <v>3039</v>
      </c>
      <c r="E1013" s="3" t="str">
        <f>IFERROR(__xludf.DUMMYFUNCTION("GOOGLETRANSLATE(D1013, ""en"", ""zh-tw"")"),"1. 成本可能超出原預算。 2. 今年的銷售額超出預期。")</f>
        <v>1. 成本可能超出原預算。 2. 今年的銷售額超出預期。</v>
      </c>
    </row>
    <row r="1014">
      <c r="A1014" s="5" t="s">
        <v>3040</v>
      </c>
      <c r="B1014" s="6" t="s">
        <v>3041</v>
      </c>
      <c r="C1014" s="5" t="s">
        <v>17</v>
      </c>
      <c r="D1014" s="5" t="s">
        <v>3042</v>
      </c>
      <c r="E1014" s="3" t="str">
        <f>IFERROR(__xludf.DUMMYFUNCTION("GOOGLETRANSLATE(D1014, ""en"", ""zh-tw"")"),"她在一家大型律師事務所擔任律師。")</f>
        <v>她在一家大型律師事務所擔任律師。</v>
      </c>
    </row>
    <row r="1015">
      <c r="A1015" s="5" t="s">
        <v>3043</v>
      </c>
      <c r="B1015" s="6" t="s">
        <v>3044</v>
      </c>
      <c r="C1015" s="5" t="s">
        <v>7</v>
      </c>
      <c r="D1015" s="5" t="s">
        <v>3045</v>
      </c>
      <c r="E1015" s="3" t="str">
        <f>IFERROR(__xludf.DUMMYFUNCTION("GOOGLETRANSLATE(D1015, ""en"", ""zh-tw"")"),"1. 更重要的是，我們需要按時完成專案。 2. 重要的是，結果顯示了顯著的改善。")</f>
        <v>1. 更重要的是，我們需要按時完成專案。 2. 重要的是，結果顯示了顯著的改善。</v>
      </c>
    </row>
    <row r="1016">
      <c r="A1016" s="5" t="s">
        <v>3046</v>
      </c>
      <c r="B1016" s="6" t="s">
        <v>3047</v>
      </c>
      <c r="C1016" s="5" t="s">
        <v>17</v>
      </c>
      <c r="D1016" s="5" t="s">
        <v>3048</v>
      </c>
      <c r="E1016" s="3" t="str">
        <f>IFERROR(__xludf.DUMMYFUNCTION("GOOGLETRANSLATE(D1016, ""en"", ""zh-tw"")"),"我用掃描器掃描了這份文件。")</f>
        <v>我用掃描器掃描了這份文件。</v>
      </c>
    </row>
    <row r="1017">
      <c r="A1017" s="5" t="s">
        <v>3049</v>
      </c>
      <c r="B1017" s="6" t="s">
        <v>3050</v>
      </c>
      <c r="C1017" s="5" t="s">
        <v>17</v>
      </c>
      <c r="D1017" s="5" t="s">
        <v>3051</v>
      </c>
      <c r="E1017" s="3" t="str">
        <f>IFERROR(__xludf.DUMMYFUNCTION("GOOGLETRANSLATE(D1017, ""en"", ""zh-tw"")"),"1. 請在用餐前將餐具擺放在桌上。 2. 本餐廳使用高級餐具，提供精緻餐飲體驗。")</f>
        <v>1. 請在用餐前將餐具擺放在桌上。 2. 本餐廳使用高級餐具，提供精緻餐飲體驗。</v>
      </c>
    </row>
    <row r="1018">
      <c r="A1018" s="5" t="s">
        <v>3052</v>
      </c>
      <c r="B1018" s="6" t="s">
        <v>3053</v>
      </c>
      <c r="C1018" s="5" t="s">
        <v>7</v>
      </c>
      <c r="D1018" s="5" t="s">
        <v>3054</v>
      </c>
      <c r="E1018" s="3" t="str">
        <f>IFERROR(__xludf.DUMMYFUNCTION("GOOGLETRANSLATE(D1018, ""en"", ""zh-tw"")"),"1. 該公司提供了維修工作的報價。 2. 這篇文章引用了一位著名作家的話。")</f>
        <v>1. 該公司提供了維修工作的報價。 2. 這篇文章引用了一位著名作家的話。</v>
      </c>
    </row>
    <row r="1019">
      <c r="A1019" s="5" t="s">
        <v>3055</v>
      </c>
      <c r="B1019" s="6" t="s">
        <v>3056</v>
      </c>
      <c r="C1019" s="5" t="s">
        <v>7</v>
      </c>
      <c r="D1019" s="5" t="s">
        <v>3057</v>
      </c>
      <c r="E1019" s="3" t="str">
        <f>IFERROR(__xludf.DUMMYFUNCTION("GOOGLETRANSLATE(D1019, ""en"", ""zh-tw"")"),"1. 您的車票有效期限為三個月。 2. 他給了合理的遲到理由。")</f>
        <v>1. 您的車票有效期限為三個月。 2. 他給了合理的遲到理由。</v>
      </c>
    </row>
    <row r="1020">
      <c r="A1020" s="5" t="s">
        <v>3058</v>
      </c>
      <c r="B1020" s="6" t="s">
        <v>3059</v>
      </c>
      <c r="C1020" s="5" t="s">
        <v>7</v>
      </c>
      <c r="D1020" s="5" t="s">
        <v>3060</v>
      </c>
      <c r="E1020" s="3" t="str">
        <f>IFERROR(__xludf.DUMMYFUNCTION("GOOGLETRANSLATE(D1020, ""en"", ""zh-tw"")"),"1. 我們需要評估專案成果。 2. 老師將評估學生的表現。")</f>
        <v>1. 我們需要評估專案成果。 2. 老師將評估學生的表現。</v>
      </c>
    </row>
    <row r="1021">
      <c r="A1021" s="5" t="s">
        <v>3061</v>
      </c>
      <c r="B1021" s="6" t="s">
        <v>3062</v>
      </c>
      <c r="C1021" s="5" t="s">
        <v>279</v>
      </c>
      <c r="D1021" s="5" t="s">
        <v>3063</v>
      </c>
      <c r="E1021" s="3" t="str">
        <f>IFERROR(__xludf.DUMMYFUNCTION("GOOGLETRANSLATE(D1021, ""en"", ""zh-tw"")"),"1. 合約中包含提前終止條款。 2. 公司必須為此專案提供充足的資源。")</f>
        <v>1. 合約中包含提前終止條款。 2. 公司必須為此專案提供充足的資源。</v>
      </c>
    </row>
    <row r="1022">
      <c r="A1022" s="5" t="s">
        <v>3064</v>
      </c>
      <c r="B1022" s="6" t="s">
        <v>3065</v>
      </c>
      <c r="C1022" s="5" t="s">
        <v>7</v>
      </c>
      <c r="D1022" s="5" t="s">
        <v>3066</v>
      </c>
      <c r="E1022" s="3" t="str">
        <f>IFERROR(__xludf.DUMMYFUNCTION("GOOGLETRANSLATE(D1022, ""en"", ""zh-tw"")"),"1. 這家公司在多年虧損後破產了。 2. 這場醜聞幾乎讓這家公司破產。")</f>
        <v>1. 這家公司在多年虧損後破產了。 2. 這場醜聞幾乎讓這家公司破產。</v>
      </c>
    </row>
    <row r="1023">
      <c r="A1023" s="5" t="s">
        <v>3067</v>
      </c>
      <c r="B1023" s="6" t="s">
        <v>3068</v>
      </c>
      <c r="C1023" s="5" t="s">
        <v>17</v>
      </c>
      <c r="D1023" s="5" t="s">
        <v>3069</v>
      </c>
      <c r="E1023" s="3" t="str">
        <f>IFERROR(__xludf.DUMMYFUNCTION("GOOGLETRANSLATE(D1023, ""en"", ""zh-tw"")"),"修車師傅很快就修好我的車了。")</f>
        <v>修車師傅很快就修好我的車了。</v>
      </c>
    </row>
    <row r="1024">
      <c r="A1024" s="5" t="s">
        <v>3070</v>
      </c>
      <c r="B1024" s="6" t="s">
        <v>3071</v>
      </c>
      <c r="C1024" s="5" t="s">
        <v>279</v>
      </c>
      <c r="D1024" s="5" t="s">
        <v>3072</v>
      </c>
      <c r="E1024" s="3" t="str">
        <f>IFERROR(__xludf.DUMMYFUNCTION("GOOGLETRANSLATE(D1024, ""en"", ""zh-tw"")"),"1. 該公司啟動了社區拓展計畫。 2. 該組織透過拓展活動與學校建立聯繫。")</f>
        <v>1. 該公司啟動了社區拓展計畫。 2. 該組織透過拓展活動與學校建立聯繫。</v>
      </c>
    </row>
    <row r="1025">
      <c r="A1025" s="5" t="s">
        <v>3073</v>
      </c>
      <c r="B1025" s="6" t="s">
        <v>3074</v>
      </c>
      <c r="C1025" s="5" t="s">
        <v>7</v>
      </c>
      <c r="D1025" s="5" t="s">
        <v>3075</v>
      </c>
      <c r="E1025" s="3" t="str">
        <f>IFERROR(__xludf.DUMMYFUNCTION("GOOGLETRANSLATE(D1025, ""en"", ""zh-tw"")"),"1. 機器故障導致生產延誤。 2. 系統在更新過程中發生故障。")</f>
        <v>1. 機器故障導致生產延誤。 2. 系統在更新過程中發生故障。</v>
      </c>
    </row>
    <row r="1026">
      <c r="A1026" s="5" t="s">
        <v>3076</v>
      </c>
      <c r="B1026" s="6" t="s">
        <v>3077</v>
      </c>
      <c r="C1026" s="5" t="s">
        <v>17</v>
      </c>
      <c r="D1026" s="5" t="s">
        <v>3078</v>
      </c>
      <c r="E1026" s="3" t="str">
        <f>IFERROR(__xludf.DUMMYFUNCTION("GOOGLETRANSLATE(D1026, ""en"", ""zh-tw"")"),"1. 經常運動可以提高你的體能。 2. 她參加了一個健身計畫來保持健康。")</f>
        <v>1. 經常運動可以提高你的體能。 2. 她參加了一個健身計畫來保持健康。</v>
      </c>
    </row>
    <row r="1027">
      <c r="A1027" s="5" t="s">
        <v>3079</v>
      </c>
      <c r="B1027" s="6" t="s">
        <v>3080</v>
      </c>
      <c r="C1027" s="5" t="s">
        <v>17</v>
      </c>
      <c r="D1027" s="5" t="s">
        <v>3081</v>
      </c>
      <c r="E1027" s="3" t="str">
        <f>IFERROR(__xludf.DUMMYFUNCTION("GOOGLETRANSLATE(D1027, ""en"", ""zh-tw"")"),"1. 飯店提供每日客房清潔服務。 2. 她負責家裡的家事和烹飪。")</f>
        <v>1. 飯店提供每日客房清潔服務。 2. 她負責家裡的家事和烹飪。</v>
      </c>
    </row>
    <row r="1028">
      <c r="A1028" s="5" t="s">
        <v>3082</v>
      </c>
      <c r="B1028" s="6" t="s">
        <v>3083</v>
      </c>
      <c r="C1028" s="5" t="s">
        <v>7</v>
      </c>
      <c r="D1028" s="5" t="s">
        <v>3084</v>
      </c>
      <c r="E1028" s="3" t="str">
        <f>IFERROR(__xludf.DUMMYFUNCTION("GOOGLETRANSLATE(D1028, ""en"", ""zh-tw"")"),"1. 請在入口處出示您的身分證件。 2. 找出問題是解決問題的第一步。")</f>
        <v>1. 請在入口處出示您的身分證件。 2. 找出問題是解決問題的第一步。</v>
      </c>
    </row>
    <row r="1029">
      <c r="A1029" s="5" t="s">
        <v>3085</v>
      </c>
      <c r="B1029" s="6" t="s">
        <v>3086</v>
      </c>
      <c r="C1029" s="5" t="s">
        <v>279</v>
      </c>
      <c r="D1029" s="5" t="s">
        <v>3087</v>
      </c>
      <c r="E1029" s="3" t="str">
        <f>IFERROR(__xludf.DUMMYFUNCTION("GOOGLETRANSLATE(D1029, ""en"", ""zh-tw"")"),"1. 委員會一致通過了這項決定。 2. 該提案獲得一致通過。")</f>
        <v>1. 委員會一致通過了這項決定。 2. 該提案獲得一致通過。</v>
      </c>
    </row>
    <row r="1030">
      <c r="A1030" s="5" t="s">
        <v>3088</v>
      </c>
      <c r="B1030" s="6" t="s">
        <v>3089</v>
      </c>
      <c r="C1030" s="5" t="s">
        <v>7</v>
      </c>
      <c r="D1030" s="5" t="s">
        <v>3090</v>
      </c>
      <c r="E1030" s="3" t="str">
        <f>IFERROR(__xludf.DUMMYFUNCTION("GOOGLETRANSLATE(D1030, ""en"", ""zh-tw"")"),"1. 駕駛人必須繳交通行費才能使用這條高速公路。 2. 地震對這座城市造成了沉重打擊。")</f>
        <v>1. 駕駛人必須繳交通行費才能使用這條高速公路。 2. 地震對這座城市造成了沉重打擊。</v>
      </c>
    </row>
    <row r="1031">
      <c r="A1031" s="5" t="s">
        <v>3091</v>
      </c>
      <c r="B1031" s="6" t="s">
        <v>3092</v>
      </c>
      <c r="C1031" s="5" t="s">
        <v>7</v>
      </c>
      <c r="D1031" s="5" t="s">
        <v>3093</v>
      </c>
      <c r="E1031" s="3" t="str">
        <f>IFERROR(__xludf.DUMMYFUNCTION("GOOGLETRANSLATE(D1031, ""en"", ""zh-tw"")"),"1. 這座城市擁有發達的地鐵系統。 2. 該組織在戰爭期間從事地下活動。")</f>
        <v>1. 這座城市擁有發達的地鐵系統。 2. 該組織在戰爭期間從事地下活動。</v>
      </c>
    </row>
    <row r="1032">
      <c r="A1032" s="5" t="s">
        <v>3094</v>
      </c>
      <c r="B1032" s="6" t="s">
        <v>3095</v>
      </c>
      <c r="C1032" s="5" t="s">
        <v>17</v>
      </c>
      <c r="D1032" s="5" t="s">
        <v>3096</v>
      </c>
      <c r="E1032" s="3" t="str">
        <f>IFERROR(__xludf.DUMMYFUNCTION("GOOGLETRANSLATE(D1032, ""en"", ""zh-tw"")"),"1. 她管理著一個由十位員工組成的團隊。 2. 我按時完成了報告。")</f>
        <v>1. 她管理著一個由十位員工組成的團隊。 2. 我按時完成了報告。</v>
      </c>
    </row>
    <row r="1033">
      <c r="A1033" s="5" t="s">
        <v>3097</v>
      </c>
      <c r="B1033" s="6" t="s">
        <v>3098</v>
      </c>
      <c r="C1033" s="5" t="s">
        <v>7</v>
      </c>
      <c r="D1033" s="5" t="s">
        <v>3099</v>
      </c>
      <c r="E1033" s="3" t="str">
        <f>IFERROR(__xludf.DUMMYFUNCTION("GOOGLETRANSLATE(D1033, ""en"", ""zh-tw"")"),"1. 他退休後每月領取退休金。 2. 政府今年提高了退休金福利。")</f>
        <v>1. 他退休後每月領取退休金。 2. 政府今年提高了退休金福利。</v>
      </c>
    </row>
    <row r="1034">
      <c r="A1034" s="5" t="s">
        <v>3100</v>
      </c>
      <c r="B1034" s="6" t="s">
        <v>3101</v>
      </c>
      <c r="C1034" s="5" t="s">
        <v>7</v>
      </c>
      <c r="D1034" s="5" t="s">
        <v>3102</v>
      </c>
      <c r="E1034" s="3" t="str">
        <f>IFERROR(__xludf.DUMMYFUNCTION("GOOGLETRANSLATE(D1034, ""en"", ""zh-tw"")"),"1. 她是一位資歷深厚的工程師。 2. 只有符合資格的申請人才會被考慮錄用。")</f>
        <v>1. 她是一位資歷深厚的工程師。 2. 只有符合資格的申請人才會被考慮錄用。</v>
      </c>
    </row>
    <row r="1035">
      <c r="A1035" s="5" t="s">
        <v>3103</v>
      </c>
      <c r="B1035" s="6" t="s">
        <v>3104</v>
      </c>
      <c r="C1035" s="5" t="s">
        <v>17</v>
      </c>
      <c r="D1035" s="5" t="s">
        <v>3105</v>
      </c>
      <c r="E1035" s="3" t="str">
        <f>IFERROR(__xludf.DUMMYFUNCTION("GOOGLETRANSLATE(D1035, ""en"", ""zh-tw"")"),"1. 這家商店發放傳單宣傳促銷活動。 2. 我拿了一份關於當地旅遊景點的傳單。")</f>
        <v>1. 這家商店發放傳單宣傳促銷活動。 2. 我拿了一份關於當地旅遊景點的傳單。</v>
      </c>
    </row>
    <row r="1036">
      <c r="A1036" s="5" t="s">
        <v>3106</v>
      </c>
      <c r="B1036" s="6" t="s">
        <v>3107</v>
      </c>
      <c r="C1036" s="5" t="s">
        <v>7</v>
      </c>
      <c r="D1036" s="5" t="s">
        <v>3108</v>
      </c>
      <c r="E1036" s="3" t="str">
        <f>IFERROR(__xludf.DUMMYFUNCTION("GOOGLETRANSLATE(D1036, ""en"", ""zh-tw"")"),"1. 該公司進行了年度財務審計。 2. 會計師將審計公司的帳簿記錄。")</f>
        <v>1. 該公司進行了年度財務審計。 2. 會計師將審計公司的帳簿記錄。</v>
      </c>
    </row>
    <row r="1037">
      <c r="A1037" s="5" t="s">
        <v>3109</v>
      </c>
      <c r="B1037" s="6" t="s">
        <v>3110</v>
      </c>
      <c r="C1037" s="5" t="s">
        <v>17</v>
      </c>
      <c r="D1037" s="5" t="s">
        <v>3111</v>
      </c>
      <c r="E1037" s="3" t="str">
        <f>IFERROR(__xludf.DUMMYFUNCTION("GOOGLETRANSLATE(D1037, ""en"", ""zh-tw"")"),"1. 今年的銷量有所成長。 2. 請調整電視音量。")</f>
        <v>1. 今年的銷量有所成長。 2. 請調整電視音量。</v>
      </c>
    </row>
    <row r="1038">
      <c r="A1038" s="5" t="s">
        <v>3112</v>
      </c>
      <c r="B1038" s="6" t="s">
        <v>3113</v>
      </c>
      <c r="C1038" s="5" t="s">
        <v>7</v>
      </c>
      <c r="D1038" s="5" t="s">
        <v>3114</v>
      </c>
      <c r="E1038" s="3" t="str">
        <f>IFERROR(__xludf.DUMMYFUNCTION("GOOGLETRANSLATE(D1038, ""en"", ""zh-tw"")"),"1. 她在面試中展示了她的設計作品集。 2. 他擁有多元化的投資組合。")</f>
        <v>1. 她在面試中展示了她的設計作品集。 2. 他擁有多元化的投資組合。</v>
      </c>
    </row>
    <row r="1039">
      <c r="A1039" s="5" t="s">
        <v>3115</v>
      </c>
      <c r="B1039" s="6" t="s">
        <v>3116</v>
      </c>
      <c r="C1039" s="5" t="s">
        <v>7</v>
      </c>
      <c r="D1039" s="5" t="s">
        <v>3117</v>
      </c>
      <c r="E1039" s="3" t="str">
        <f>IFERROR(__xludf.DUMMYFUNCTION("GOOGLETRANSLATE(D1039, ""en"", ""zh-tw"")"),"1. 公司發布了新的產品目錄。 2. 圖書館目錄幫助使用者輕鬆找到書籍。")</f>
        <v>1. 公司發布了新的產品目錄。 2. 圖書館目錄幫助使用者輕鬆找到書籍。</v>
      </c>
    </row>
    <row r="1040">
      <c r="A1040" s="5" t="s">
        <v>3118</v>
      </c>
      <c r="B1040" s="6" t="s">
        <v>3119</v>
      </c>
      <c r="C1040" s="5" t="s">
        <v>17</v>
      </c>
      <c r="D1040" s="5" t="s">
        <v>3120</v>
      </c>
      <c r="E1040" s="3" t="str">
        <f>IFERROR(__xludf.DUMMYFUNCTION("GOOGLETRANSLATE(D1040, ""en"", ""zh-tw"")"),"1. 你應該在旅行前購買旅遊保險。 2. 公司為員工提供醫療保險。")</f>
        <v>1. 你應該在旅行前購買旅遊保險。 2. 公司為員工提供醫療保險。</v>
      </c>
    </row>
    <row r="1041">
      <c r="A1041" s="5" t="s">
        <v>3121</v>
      </c>
      <c r="B1041" s="6" t="s">
        <v>3122</v>
      </c>
      <c r="C1041" s="5" t="s">
        <v>17</v>
      </c>
      <c r="D1041" s="5" t="s">
        <v>3123</v>
      </c>
      <c r="E1041" s="3" t="str">
        <f>IFERROR(__xludf.DUMMYFUNCTION("GOOGLETRANSLATE(D1041, ""en"", ""zh-tw"")"),"1. 價格比較顯示這家店比較便宜。 2. 這兩款產品沒有可比性。")</f>
        <v>1. 價格比較顯示這家店比較便宜。 2. 這兩款產品沒有可比性。</v>
      </c>
    </row>
    <row r="1042">
      <c r="A1042" s="5" t="s">
        <v>3124</v>
      </c>
      <c r="B1042" s="6" t="s">
        <v>3125</v>
      </c>
      <c r="C1042" s="5" t="s">
        <v>17</v>
      </c>
      <c r="D1042" s="5" t="s">
        <v>3126</v>
      </c>
      <c r="E1042" s="3" t="str">
        <f>IFERROR(__xludf.DUMMYFUNCTION("GOOGLETRANSLATE(D1042, ""en"", ""zh-tw"")"),"1. 我們住在山裡的一間小木屋。 2. 乘客們在飛機客艙裡落座。")</f>
        <v>1. 我們住在山裡的一間小木屋。 2. 乘客們在飛機客艙裡落座。</v>
      </c>
    </row>
    <row r="1043">
      <c r="A1043" s="5" t="s">
        <v>3127</v>
      </c>
      <c r="B1043" s="6" t="s">
        <v>3128</v>
      </c>
      <c r="C1043" s="5" t="s">
        <v>7</v>
      </c>
      <c r="D1043" s="5" t="s">
        <v>3129</v>
      </c>
      <c r="E1043" s="3" t="str">
        <f>IFERROR(__xludf.DUMMYFUNCTION("GOOGLETRANSLATE(D1043, ""en"", ""zh-tw"")"),"1. 該建築朝向有利於採光。 2. 新進員工必須參加入職培訓。")</f>
        <v>1. 該建築朝向有利於採光。 2. 新進員工必須參加入職培訓。</v>
      </c>
    </row>
    <row r="1044">
      <c r="A1044" s="5" t="s">
        <v>3130</v>
      </c>
      <c r="B1044" s="6" t="s">
        <v>3131</v>
      </c>
      <c r="C1044" s="5" t="s">
        <v>7</v>
      </c>
      <c r="D1044" s="5" t="s">
        <v>3132</v>
      </c>
      <c r="E1044" s="3" t="str">
        <f>IFERROR(__xludf.DUMMYFUNCTION("GOOGLETRANSLATE(D1044, ""en"", ""zh-tw"")"),"1. 該軟體與大多數作業系統相容。 2. 他們的個性非常合拍。")</f>
        <v>1. 該軟體與大多數作業系統相容。 2. 他們的個性非常合拍。</v>
      </c>
    </row>
    <row r="1045">
      <c r="A1045" s="5" t="s">
        <v>3133</v>
      </c>
      <c r="B1045" s="6" t="s">
        <v>3134</v>
      </c>
      <c r="C1045" s="5" t="s">
        <v>17</v>
      </c>
      <c r="D1045" s="5" t="s">
        <v>3135</v>
      </c>
      <c r="E1045" s="3" t="str">
        <f>IFERROR(__xludf.DUMMYFUNCTION("GOOGLETRANSLATE(D1045, ""en"", ""zh-tw"")"),"請填寫此申請表。")</f>
        <v>請填寫此申請表。</v>
      </c>
    </row>
    <row r="1046">
      <c r="A1046" s="5" t="s">
        <v>3136</v>
      </c>
      <c r="B1046" s="6" t="s">
        <v>3137</v>
      </c>
      <c r="C1046" s="5" t="s">
        <v>17</v>
      </c>
      <c r="D1046" s="5" t="s">
        <v>3138</v>
      </c>
      <c r="E1046" s="3" t="str">
        <f>IFERROR(__xludf.DUMMYFUNCTION("GOOGLETRANSLATE(D1046, ""en"", ""zh-tw"")"),"1. 此系統支援多個使用者同時使用。 2. 十二是三的倍數。")</f>
        <v>1. 此系統支援多個使用者同時使用。 2. 十二是三的倍數。</v>
      </c>
    </row>
    <row r="1047">
      <c r="A1047" s="5" t="s">
        <v>3139</v>
      </c>
      <c r="B1047" s="6" t="s">
        <v>3140</v>
      </c>
      <c r="C1047" s="5" t="s">
        <v>7</v>
      </c>
      <c r="D1047" s="5" t="s">
        <v>3141</v>
      </c>
      <c r="E1047" s="3" t="str">
        <f>IFERROR(__xludf.DUMMYFUNCTION("GOOGLETRANSLATE(D1047, ""en"", ""zh-tw"")"),"疫苗有助於保護人們免受病毒感染。")</f>
        <v>疫苗有助於保護人們免受病毒感染。</v>
      </c>
    </row>
    <row r="1048">
      <c r="A1048" s="5" t="s">
        <v>3142</v>
      </c>
      <c r="B1048" s="6" t="s">
        <v>3143</v>
      </c>
      <c r="C1048" s="5" t="s">
        <v>7</v>
      </c>
      <c r="D1048" s="5" t="s">
        <v>3144</v>
      </c>
      <c r="E1048" s="3" t="str">
        <f>IFERROR(__xludf.DUMMYFUNCTION("GOOGLETRANSLATE(D1048, ""en"", ""zh-tw"")"),"數據是手動輸入系統的。")</f>
        <v>數據是手動輸入系統的。</v>
      </c>
    </row>
    <row r="1049">
      <c r="A1049" s="5" t="s">
        <v>3145</v>
      </c>
      <c r="B1049" s="6" t="s">
        <v>3146</v>
      </c>
      <c r="C1049" s="5" t="s">
        <v>7</v>
      </c>
      <c r="D1049" s="5" t="s">
        <v>3147</v>
      </c>
      <c r="E1049" s="3" t="str">
        <f>IFERROR(__xludf.DUMMYFUNCTION("GOOGLETRANSLATE(D1049, ""en"", ""zh-tw"")"),"1. 對於延誤造成的不便，我們深感抱歉。 2. 道路施工將給當地居民帶來不便。")</f>
        <v>1. 對於延誤造成的不便，我們深感抱歉。 2. 道路施工將給當地居民帶來不便。</v>
      </c>
    </row>
    <row r="1050">
      <c r="A1050" s="5" t="s">
        <v>3148</v>
      </c>
      <c r="B1050" s="6" t="s">
        <v>3149</v>
      </c>
      <c r="C1050" s="5" t="s">
        <v>7</v>
      </c>
      <c r="D1050" s="5" t="s">
        <v>3150</v>
      </c>
      <c r="E1050" s="3" t="str">
        <f>IFERROR(__xludf.DUMMYFUNCTION("GOOGLETRANSLATE(D1050, ""en"", ""zh-tw"")"),"1. 請在提交報告前仔細校對。 2. 她仔細校對了文件，檢查了拼字錯誤。")</f>
        <v>1. 請在提交報告前仔細校對。 2. 她仔細校對了文件，檢查了拼字錯誤。</v>
      </c>
    </row>
    <row r="1051">
      <c r="A1051" s="5" t="s">
        <v>3151</v>
      </c>
      <c r="B1051" s="6" t="s">
        <v>3152</v>
      </c>
      <c r="C1051" s="5" t="s">
        <v>17</v>
      </c>
      <c r="D1051" s="5" t="s">
        <v>3153</v>
      </c>
      <c r="E1051" s="3" t="str">
        <f>IFERROR(__xludf.DUMMYFUNCTION("GOOGLETRANSLATE(D1051, ""en"", ""zh-tw"")"),"我用訂書機把紙張裝訂在一起。")</f>
        <v>我用訂書機把紙張裝訂在一起。</v>
      </c>
    </row>
    <row r="1052">
      <c r="A1052" s="5" t="s">
        <v>3154</v>
      </c>
      <c r="B1052" s="6" t="s">
        <v>3155</v>
      </c>
      <c r="C1052" s="5" t="s">
        <v>17</v>
      </c>
      <c r="D1052" s="5" t="s">
        <v>3156</v>
      </c>
      <c r="E1052" s="3" t="str">
        <f>IFERROR(__xludf.DUMMYFUNCTION("GOOGLETRANSLATE(D1052, ""en"", ""zh-tw"")"),"國際郵件的郵資相當昂貴。")</f>
        <v>國際郵件的郵資相當昂貴。</v>
      </c>
    </row>
    <row r="1053">
      <c r="A1053" s="5" t="s">
        <v>3157</v>
      </c>
      <c r="B1053" s="6" t="s">
        <v>3158</v>
      </c>
      <c r="C1053" s="5" t="s">
        <v>7</v>
      </c>
      <c r="D1053" s="5" t="s">
        <v>3159</v>
      </c>
      <c r="E1053" s="3" t="str">
        <f>IFERROR(__xludf.DUMMYFUNCTION("GOOGLETRANSLATE(D1053, ""en"", ""zh-tw"")"),"1. 她在台北一家旅行社工作。 2. 該政府機構負責食品安全。")</f>
        <v>1. 她在台北一家旅行社工作。 2. 該政府機構負責食品安全。</v>
      </c>
    </row>
    <row r="1054">
      <c r="A1054" s="5" t="s">
        <v>3160</v>
      </c>
      <c r="B1054" s="6" t="s">
        <v>3161</v>
      </c>
      <c r="C1054" s="5" t="s">
        <v>17</v>
      </c>
      <c r="D1054" s="5" t="s">
        <v>3162</v>
      </c>
      <c r="E1054" s="3" t="str">
        <f>IFERROR(__xludf.DUMMYFUNCTION("GOOGLETRANSLATE(D1054, ""en"", ""zh-tw"")"),"1. 公司提供優厚的薪資待遇。 2. 她是一位富有魅力且自信的演講者。")</f>
        <v>1. 公司提供優厚的薪資待遇。 2. 她是一位富有魅力且自信的演講者。</v>
      </c>
    </row>
    <row r="1055">
      <c r="A1055" s="5" t="s">
        <v>3163</v>
      </c>
      <c r="B1055" s="6" t="s">
        <v>3164</v>
      </c>
      <c r="C1055" s="5" t="s">
        <v>279</v>
      </c>
      <c r="D1055" s="5" t="s">
        <v>3165</v>
      </c>
      <c r="E1055" s="3" t="str">
        <f>IFERROR(__xludf.DUMMYFUNCTION("GOOGLETRANSLATE(D1055, ""en"", ""zh-tw"")"),"1. 該公司計劃實現產品線多元化。 2. 投資者分散投資組合以降低風險。")</f>
        <v>1. 該公司計劃實現產品線多元化。 2. 投資者分散投資組合以降低風險。</v>
      </c>
    </row>
    <row r="1056">
      <c r="A1056" s="5" t="s">
        <v>3166</v>
      </c>
      <c r="B1056" s="6" t="s">
        <v>3167</v>
      </c>
      <c r="C1056" s="5" t="s">
        <v>17</v>
      </c>
      <c r="D1056" s="5" t="s">
        <v>3168</v>
      </c>
      <c r="E1056" s="3" t="str">
        <f>IFERROR(__xludf.DUMMYFUNCTION("GOOGLETRANSLATE(D1056, ""en"", ""zh-tw"")"),"旅行期間，我們遊覽了這座城市。")</f>
        <v>旅行期間，我們遊覽了這座城市。</v>
      </c>
    </row>
    <row r="1057">
      <c r="A1057" s="5" t="s">
        <v>3169</v>
      </c>
      <c r="B1057" s="6" t="s">
        <v>3170</v>
      </c>
      <c r="C1057" s="5" t="s">
        <v>17</v>
      </c>
      <c r="D1057" s="5" t="s">
        <v>3171</v>
      </c>
      <c r="E1057" s="3" t="str">
        <f>IFERROR(__xludf.DUMMYFUNCTION("GOOGLETRANSLATE(D1057, ""en"", ""zh-tw"")"),"我不喜歡早起。")</f>
        <v>我不喜歡早起。</v>
      </c>
    </row>
    <row r="1058">
      <c r="A1058" s="5" t="s">
        <v>3172</v>
      </c>
      <c r="B1058" s="6" t="s">
        <v>3173</v>
      </c>
      <c r="C1058" s="5" t="s">
        <v>17</v>
      </c>
      <c r="D1058" s="5" t="s">
        <v>3174</v>
      </c>
      <c r="E1058" s="3" t="str">
        <f>IFERROR(__xludf.DUMMYFUNCTION("GOOGLETRANSLATE(D1058, ""en"", ""zh-tw"")"),"他每個月的收入足以養家。")</f>
        <v>他每個月的收入足以養家。</v>
      </c>
    </row>
    <row r="1059">
      <c r="A1059" s="5" t="s">
        <v>3175</v>
      </c>
      <c r="B1059" s="6" t="s">
        <v>3176</v>
      </c>
      <c r="C1059" s="5" t="s">
        <v>17</v>
      </c>
      <c r="D1059" s="5" t="s">
        <v>3177</v>
      </c>
      <c r="E1059" s="3" t="str">
        <f>IFERROR(__xludf.DUMMYFUNCTION("GOOGLETRANSLATE(D1059, ""en"", ""zh-tw"")"),"1. 我們將於下午3點後辦理飯店入住手續。 2. 乘客必須在出發前兩小時辦理入住手續。")</f>
        <v>1. 我們將於下午3點後辦理飯店入住手續。 2. 乘客必須在出發前兩小時辦理入住手續。</v>
      </c>
    </row>
    <row r="1060">
      <c r="A1060" s="5" t="s">
        <v>3178</v>
      </c>
      <c r="B1060" s="6" t="s">
        <v>3179</v>
      </c>
      <c r="C1060" s="5" t="s">
        <v>279</v>
      </c>
      <c r="D1060" s="5" t="s">
        <v>3180</v>
      </c>
      <c r="E1060" s="3" t="str">
        <f>IFERROR(__xludf.DUMMYFUNCTION("GOOGLETRANSLATE(D1060, ""en"", ""zh-tw"")"),"經理向全體員工發送了一份備忘錄。")</f>
        <v>經理向全體員工發送了一份備忘錄。</v>
      </c>
    </row>
    <row r="1061">
      <c r="A1061" s="5" t="s">
        <v>3181</v>
      </c>
      <c r="B1061" s="6" t="s">
        <v>3182</v>
      </c>
      <c r="C1061" s="5" t="s">
        <v>7</v>
      </c>
      <c r="D1061" s="5" t="s">
        <v>3183</v>
      </c>
      <c r="E1061" s="3" t="str">
        <f>IFERROR(__xludf.DUMMYFUNCTION("GOOGLETRANSLATE(D1061, ""en"", ""zh-tw"")"),"1. 我們需要確定問題的原因。 2. 結果將決定專案的下一步。")</f>
        <v>1. 我們需要確定問題的原因。 2. 結果將決定專案的下一步。</v>
      </c>
    </row>
    <row r="1062">
      <c r="A1062" s="5" t="s">
        <v>3184</v>
      </c>
      <c r="B1062" s="6" t="s">
        <v>3185</v>
      </c>
      <c r="C1062" s="5" t="s">
        <v>17</v>
      </c>
      <c r="D1062" s="5" t="s">
        <v>3186</v>
      </c>
      <c r="E1062" s="3" t="str">
        <f>IFERROR(__xludf.DUMMYFUNCTION("GOOGLETRANSLATE(D1062, ""en"", ""zh-tw"")"),"1. 她信用記錄良好。 2. 這項成就歸功於整個團隊。")</f>
        <v>1. 她信用記錄良好。 2. 這項成就歸功於整個團隊。</v>
      </c>
    </row>
    <row r="1063">
      <c r="A1063" s="5" t="s">
        <v>3187</v>
      </c>
      <c r="B1063" s="6" t="s">
        <v>3188</v>
      </c>
      <c r="C1063" s="5" t="s">
        <v>17</v>
      </c>
      <c r="D1063" s="5" t="s">
        <v>3189</v>
      </c>
      <c r="E1063" s="3" t="str">
        <f>IFERROR(__xludf.DUMMYFUNCTION("GOOGLETRANSLATE(D1063, ""en"", ""zh-tw"")"),"1. 這場風暴對建築物造成了嚴重損壞。 2. 這台機器在運送過程中受損。")</f>
        <v>1. 這場風暴對建築物造成了嚴重損壞。 2. 這台機器在運送過程中受損。</v>
      </c>
    </row>
    <row r="1064">
      <c r="A1064" s="5" t="s">
        <v>3190</v>
      </c>
      <c r="B1064" s="6" t="s">
        <v>3191</v>
      </c>
      <c r="C1064" s="5" t="s">
        <v>7</v>
      </c>
      <c r="D1064" s="5" t="s">
        <v>3192</v>
      </c>
      <c r="E1064" s="3" t="str">
        <f>IFERROR(__xludf.DUMMYFUNCTION("GOOGLETRANSLATE(D1064, ""en"", ""zh-tw"")"),"1. 良好的紀律在職場中非常重要。 2. 她每天都自律地學習。")</f>
        <v>1. 良好的紀律在職場中非常重要。 2. 她每天都自律地學習。</v>
      </c>
    </row>
    <row r="1065">
      <c r="A1065" s="5" t="s">
        <v>3193</v>
      </c>
      <c r="B1065" s="6" t="s">
        <v>3194</v>
      </c>
      <c r="C1065" s="5" t="s">
        <v>279</v>
      </c>
      <c r="D1065" s="5" t="s">
        <v>3195</v>
      </c>
      <c r="E1065" s="3" t="str">
        <f>IFERROR(__xludf.DUMMYFUNCTION("GOOGLETRANSLATE(D1065, ""en"", ""zh-tw"")"),"1. 參加活動前必須簽署免責聲明。 2. 公司對特殊情況免除了費用。")</f>
        <v>1. 參加活動前必須簽署免責聲明。 2. 公司對特殊情況免除了費用。</v>
      </c>
    </row>
    <row r="1066">
      <c r="A1066" s="5" t="s">
        <v>3196</v>
      </c>
      <c r="B1066" s="6" t="s">
        <v>3197</v>
      </c>
      <c r="C1066" s="5" t="s">
        <v>7</v>
      </c>
      <c r="D1066" s="5" t="s">
        <v>3198</v>
      </c>
      <c r="E1066" s="3" t="str">
        <f>IFERROR(__xludf.DUMMYFUNCTION("GOOGLETRANSLATE(D1066, ""en"", ""zh-tw"")"),"這位工程師花了幾個小時調試軟體。")</f>
        <v>這位工程師花了幾個小時調試軟體。</v>
      </c>
    </row>
    <row r="1067">
      <c r="A1067" s="5" t="s">
        <v>3199</v>
      </c>
      <c r="B1067" s="6" t="s">
        <v>3200</v>
      </c>
      <c r="C1067" s="5" t="s">
        <v>17</v>
      </c>
      <c r="D1067" s="5" t="s">
        <v>3201</v>
      </c>
      <c r="E1067" s="3" t="str">
        <f>IFERROR(__xludf.DUMMYFUNCTION("GOOGLETRANSLATE(D1067, ""en"", ""zh-tw"")"),"1. 他把車掛到一檔。 2. 這門課程是為初學者設計的。")</f>
        <v>1. 他把車掛到一檔。 2. 這門課程是為初學者設計的。</v>
      </c>
    </row>
    <row r="1068">
      <c r="A1068" s="5" t="s">
        <v>3202</v>
      </c>
      <c r="B1068" s="6" t="s">
        <v>3203</v>
      </c>
      <c r="C1068" s="5" t="s">
        <v>7</v>
      </c>
      <c r="D1068" s="5" t="s">
        <v>3204</v>
      </c>
      <c r="E1068" s="3" t="str">
        <f>IFERROR(__xludf.DUMMYFUNCTION("GOOGLETRANSLATE(D1068, ""en"", ""zh-tw"")"),"1. 你可以指望他能準時完成工作。 2. 許多公司依賴科技來提高效率。")</f>
        <v>1. 你可以指望他能準時完成工作。 2. 許多公司依賴科技來提高效率。</v>
      </c>
    </row>
    <row r="1069">
      <c r="A1069" s="5" t="s">
        <v>3205</v>
      </c>
      <c r="B1069" s="6" t="s">
        <v>3206</v>
      </c>
      <c r="C1069" s="5" t="s">
        <v>7</v>
      </c>
      <c r="D1069" s="5" t="s">
        <v>3207</v>
      </c>
      <c r="E1069" s="3" t="str">
        <f>IFERROR(__xludf.DUMMYFUNCTION("GOOGLETRANSLATE(D1069, ""en"", ""zh-tw"")"),"他到大使館辦理護照更新手續。")</f>
        <v>他到大使館辦理護照更新手續。</v>
      </c>
    </row>
    <row r="1070">
      <c r="A1070" s="5" t="s">
        <v>3208</v>
      </c>
      <c r="B1070" s="6" t="s">
        <v>3209</v>
      </c>
      <c r="C1070" s="5" t="s">
        <v>17</v>
      </c>
      <c r="D1070" s="5" t="s">
        <v>3210</v>
      </c>
      <c r="E1070" s="3" t="str">
        <f>IFERROR(__xludf.DUMMYFUNCTION("GOOGLETRANSLATE(D1070, ""en"", ""zh-tw"")"),"該公司從事科技業。")</f>
        <v>該公司從事科技業。</v>
      </c>
    </row>
    <row r="1071">
      <c r="A1071" s="5" t="s">
        <v>3211</v>
      </c>
      <c r="B1071" s="6" t="s">
        <v>3212</v>
      </c>
      <c r="C1071" s="5" t="s">
        <v>7</v>
      </c>
      <c r="D1071" s="5" t="s">
        <v>3213</v>
      </c>
      <c r="E1071" s="3" t="str">
        <f>IFERROR(__xludf.DUMMYFUNCTION("GOOGLETRANSLATE(D1071, ""en"", ""zh-tw"")"),"1. 該公司專營全球物流。 2. 活動物流管理可能非常複雜。")</f>
        <v>1. 該公司專營全球物流。 2. 活動物流管理可能非常複雜。</v>
      </c>
    </row>
    <row r="1072">
      <c r="A1072" s="5" t="s">
        <v>3214</v>
      </c>
      <c r="B1072" s="6" t="s">
        <v>3215</v>
      </c>
      <c r="C1072" s="5" t="s">
        <v>279</v>
      </c>
      <c r="D1072" s="5" t="s">
        <v>3216</v>
      </c>
      <c r="E1072" s="3" t="str">
        <f>IFERROR(__xludf.DUMMYFUNCTION("GOOGLETRANSLATE(D1072, ""en"", ""zh-tw"")"),"1. 良好的公司治理能夠提高透明度和問責制。 2. 該報告重點關注環境治理政策。")</f>
        <v>1. 良好的公司治理能夠提高透明度和問責制。 2. 該報告重點關注環境治理政策。</v>
      </c>
    </row>
    <row r="1073">
      <c r="A1073" s="5" t="s">
        <v>3217</v>
      </c>
      <c r="B1073" s="6" t="s">
        <v>3218</v>
      </c>
      <c r="C1073" s="5" t="s">
        <v>279</v>
      </c>
      <c r="D1073" s="5" t="s">
        <v>3219</v>
      </c>
      <c r="E1073" s="3" t="str">
        <f>IFERROR(__xludf.DUMMYFUNCTION("GOOGLETRANSLATE(D1073, ""en"", ""zh-tw"")"),"1. 這部電影具有強烈的戲劇風格。 2. 他的反應非常誇張，不切實際。")</f>
        <v>1. 這部電影具有強烈的戲劇風格。 2. 他的反應非常誇張，不切實際。</v>
      </c>
    </row>
    <row r="1074">
      <c r="A1074" s="5" t="s">
        <v>3220</v>
      </c>
      <c r="B1074" s="6" t="s">
        <v>3221</v>
      </c>
      <c r="C1074" s="5" t="s">
        <v>17</v>
      </c>
      <c r="D1074" s="5" t="s">
        <v>3222</v>
      </c>
      <c r="E1074" s="3" t="str">
        <f>IFERROR(__xludf.DUMMYFUNCTION("GOOGLETRANSLATE(D1074, ""en"", ""zh-tw"")"),"1. 我們去電影院看了電影。 2. 她喜歡電影，每個週末都去看電影。")</f>
        <v>1. 我們去電影院看了電影。 2. 她喜歡電影，每個週末都去看電影。</v>
      </c>
    </row>
    <row r="1075">
      <c r="A1075" s="5" t="s">
        <v>3223</v>
      </c>
      <c r="B1075" s="6" t="s">
        <v>3224</v>
      </c>
      <c r="C1075" s="5" t="s">
        <v>7</v>
      </c>
      <c r="D1075" s="5" t="s">
        <v>3225</v>
      </c>
      <c r="E1075" s="3" t="str">
        <f>IFERROR(__xludf.DUMMYFUNCTION("GOOGLETRANSLATE(D1075, ""en"", ""zh-tw"")"),"1. 新的劇場將舉辦各種演出。 2. 孩子們正在花園裡的小劇場玩耍。")</f>
        <v>1. 新的劇場將舉辦各種演出。 2. 孩子們正在花園裡的小劇場玩耍。</v>
      </c>
    </row>
    <row r="1076">
      <c r="A1076" s="5" t="s">
        <v>3226</v>
      </c>
      <c r="B1076" s="6" t="s">
        <v>3227</v>
      </c>
      <c r="C1076" s="5" t="s">
        <v>7</v>
      </c>
      <c r="D1076" s="5" t="s">
        <v>3228</v>
      </c>
      <c r="E1076" s="3" t="str">
        <f>IFERROR(__xludf.DUMMYFUNCTION("GOOGLETRANSLATE(D1076, ""en"", ""zh-tw"")"),"活動在最後一刻被取消了。")</f>
        <v>活動在最後一刻被取消了。</v>
      </c>
    </row>
    <row r="1077">
      <c r="A1077" s="5" t="s">
        <v>3229</v>
      </c>
      <c r="B1077" s="6" t="s">
        <v>3230</v>
      </c>
      <c r="C1077" s="5" t="s">
        <v>7</v>
      </c>
      <c r="D1077" s="5" t="s">
        <v>3231</v>
      </c>
      <c r="E1077" s="3" t="str">
        <f>IFERROR(__xludf.DUMMYFUNCTION("GOOGLETRANSLATE(D1077, ""en"", ""zh-tw"")"),"1. 請確認會議室是否可用。 2. 她下週一有空接受面試。")</f>
        <v>1. 請確認會議室是否可用。 2. 她下週一有空接受面試。</v>
      </c>
    </row>
    <row r="1078">
      <c r="A1078" s="5" t="s">
        <v>3232</v>
      </c>
      <c r="B1078" s="6" t="s">
        <v>3233</v>
      </c>
      <c r="C1078" s="5" t="s">
        <v>7</v>
      </c>
      <c r="D1078" s="5" t="s">
        <v>3234</v>
      </c>
      <c r="E1078" s="3" t="str">
        <f>IFERROR(__xludf.DUMMYFUNCTION("GOOGLETRANSLATE(D1078, ""en"", ""zh-tw"")"),"1. 該網站提高了殘障使用者的使用體驗。 2. 公共交通的無障礙性非常重要。")</f>
        <v>1. 該網站提高了殘障使用者的使用體驗。 2. 公共交通的無障礙性非常重要。</v>
      </c>
    </row>
    <row r="1079">
      <c r="A1079" s="5" t="s">
        <v>3235</v>
      </c>
      <c r="B1079" s="6" t="s">
        <v>3236</v>
      </c>
      <c r="C1079" s="5" t="s">
        <v>7</v>
      </c>
      <c r="D1079" s="5" t="s">
        <v>3237</v>
      </c>
      <c r="E1079" s="3" t="str">
        <f>IFERROR(__xludf.DUMMYFUNCTION("GOOGLETRANSLATE(D1079, ""en"", ""zh-tw"")"),"1. 團隊展現了對新專案的充分準備。 2. 她樂於助人的態度讓整個過程更加順利。")</f>
        <v>1. 團隊展現了對新專案的充分準備。 2. 她樂於助人的態度讓整個過程更加順利。</v>
      </c>
    </row>
    <row r="1080">
      <c r="A1080" s="5" t="s">
        <v>3238</v>
      </c>
      <c r="B1080" s="6" t="s">
        <v>3239</v>
      </c>
      <c r="C1080" s="5" t="s">
        <v>17</v>
      </c>
      <c r="D1080" s="5" t="s">
        <v>3240</v>
      </c>
      <c r="E1080" s="3" t="str">
        <f>IFERROR(__xludf.DUMMYFUNCTION("GOOGLETRANSLATE(D1080, ""en"", ""zh-tw"")"),"1. 該公司將於下個月發表一款新產品。 2. 這部電影將於下週五上映。")</f>
        <v>1. 該公司將於下個月發表一款新產品。 2. 這部電影將於下週五上映。</v>
      </c>
    </row>
    <row r="1081">
      <c r="A1081" s="5" t="s">
        <v>3241</v>
      </c>
      <c r="B1081" s="6" t="s">
        <v>3242</v>
      </c>
      <c r="C1081" s="5" t="s">
        <v>279</v>
      </c>
      <c r="D1081" s="5" t="s">
        <v>3243</v>
      </c>
      <c r="E1081" s="3" t="str">
        <f>IFERROR(__xludf.DUMMYFUNCTION("GOOGLETRANSLATE(D1081, ""en"", ""zh-tw"")"),"該網站包含關於資訊準確性的免責聲明。")</f>
        <v>該網站包含關於資訊準確性的免責聲明。</v>
      </c>
    </row>
    <row r="1082">
      <c r="A1082" s="5" t="s">
        <v>3244</v>
      </c>
      <c r="B1082" s="6" t="s">
        <v>3245</v>
      </c>
      <c r="C1082" s="5" t="s">
        <v>279</v>
      </c>
      <c r="D1082" s="5" t="s">
        <v>3246</v>
      </c>
      <c r="E1082" s="3" t="str">
        <f>IFERROR(__xludf.DUMMYFUNCTION("GOOGLETRANSLATE(D1082, ""en"", ""zh-tw"")"),"1. 本公司同意免服務費。 2. 他放棄了上訴權。")</f>
        <v>1. 本公司同意免服務費。 2. 他放棄了上訴權。</v>
      </c>
    </row>
    <row r="1083">
      <c r="A1083" s="5" t="s">
        <v>3247</v>
      </c>
      <c r="B1083" s="6" t="s">
        <v>3248</v>
      </c>
      <c r="C1083" s="5" t="s">
        <v>17</v>
      </c>
      <c r="D1083" s="5" t="s">
        <v>3249</v>
      </c>
      <c r="E1083" s="3" t="str">
        <f>IFERROR(__xludf.DUMMYFUNCTION("GOOGLETRANSLATE(D1083, ""en"", ""zh-tw"")"),"1. 她每天搭火車上班。 2. 他每天通勤大約需要一個小時。")</f>
        <v>1. 她每天搭火車上班。 2. 他每天通勤大約需要一個小時。</v>
      </c>
    </row>
    <row r="1084">
      <c r="A1084" s="5" t="s">
        <v>3250</v>
      </c>
      <c r="B1084" s="6" t="s">
        <v>3251</v>
      </c>
      <c r="C1084" s="5" t="s">
        <v>7</v>
      </c>
      <c r="D1084" s="5" t="s">
        <v>3252</v>
      </c>
      <c r="E1084" s="3" t="str">
        <f>IFERROR(__xludf.DUMMYFUNCTION("GOOGLETRANSLATE(D1084, ""en"", ""zh-tw"")"),"1. 這款設備耗電量很大。 2. 人們在行動裝置上消費的內容更多。")</f>
        <v>1. 這款設備耗電量很大。 2. 人們在行動裝置上消費的內容更多。</v>
      </c>
    </row>
    <row r="1085">
      <c r="A1085" s="5" t="s">
        <v>3253</v>
      </c>
      <c r="B1085" s="6" t="s">
        <v>3254</v>
      </c>
      <c r="C1085" s="5" t="s">
        <v>279</v>
      </c>
      <c r="D1085" s="5" t="s">
        <v>3255</v>
      </c>
      <c r="E1085" s="3" t="str">
        <f>IFERROR(__xludf.DUMMYFUNCTION("GOOGLETRANSLATE(D1085, ""en"", ""zh-tw"")"),"1. 長期乾旱導致水資源枯竭。 2. 過度消耗資源可能耗盡自然儲備。")</f>
        <v>1. 長期乾旱導致水資源枯竭。 2. 過度消耗資源可能耗盡自然儲備。</v>
      </c>
    </row>
    <row r="1086">
      <c r="A1086" s="5" t="s">
        <v>3256</v>
      </c>
      <c r="B1086" s="6" t="s">
        <v>3257</v>
      </c>
      <c r="C1086" s="5" t="s">
        <v>7</v>
      </c>
      <c r="D1086" s="5" t="s">
        <v>3258</v>
      </c>
      <c r="E1086" s="3" t="str">
        <f>IFERROR(__xludf.DUMMYFUNCTION("GOOGLETRANSLATE(D1086, ""en"", ""zh-tw"")"),"1. 我們應在旱季節約用水。 2. 政府正努力保護自然資源。")</f>
        <v>1. 我們應在旱季節約用水。 2. 政府正努力保護自然資源。</v>
      </c>
    </row>
    <row r="1087">
      <c r="A1087" s="5" t="s">
        <v>3259</v>
      </c>
      <c r="B1087" s="6" t="s">
        <v>3260</v>
      </c>
      <c r="C1087" s="5" t="s">
        <v>17</v>
      </c>
      <c r="D1087" s="5" t="s">
        <v>3261</v>
      </c>
      <c r="E1087" s="3" t="str">
        <f>IFERROR(__xludf.DUMMYFUNCTION("GOOGLETRANSLATE(D1087, ""en"", ""zh-tw"")"),"1. 這對公司來說是個大問題。 2. 她主修工商管理。")</f>
        <v>1. 這對公司來說是個大問題。 2. 她主修工商管理。</v>
      </c>
    </row>
    <row r="1088">
      <c r="A1088" s="5" t="s">
        <v>3262</v>
      </c>
      <c r="B1088" s="6" t="s">
        <v>3263</v>
      </c>
      <c r="C1088" s="5" t="s">
        <v>17</v>
      </c>
      <c r="D1088" s="5" t="s">
        <v>3264</v>
      </c>
      <c r="E1088" s="3" t="str">
        <f>IFERROR(__xludf.DUMMYFUNCTION("GOOGLETRANSLATE(D1088, ""en"", ""zh-tw"")"),"1. 我用平板電腦閱讀電子書。 2. 醫生開了止痛藥給我。")</f>
        <v>1. 我用平板電腦閱讀電子書。 2. 醫生開了止痛藥給我。</v>
      </c>
    </row>
    <row r="1089">
      <c r="A1089" s="5" t="s">
        <v>3265</v>
      </c>
      <c r="B1089" s="6" t="s">
        <v>3266</v>
      </c>
      <c r="C1089" s="5" t="s">
        <v>7</v>
      </c>
      <c r="D1089" s="5" t="s">
        <v>3267</v>
      </c>
      <c r="E1089" s="3" t="str">
        <f>IFERROR(__xludf.DUMMYFUNCTION("GOOGLETRANSLATE(D1089, ""en"", ""zh-tw"")"),"1. 該公司採用系統化的方法解決問題。 2. 她對所有文件進行了系統性的審查。")</f>
        <v>1. 該公司採用系統化的方法解決問題。 2. 她對所有文件進行了系統性的審查。</v>
      </c>
    </row>
    <row r="1090">
      <c r="A1090" s="5" t="s">
        <v>3268</v>
      </c>
      <c r="B1090" s="6" t="s">
        <v>3269</v>
      </c>
      <c r="C1090" s="5" t="s">
        <v>279</v>
      </c>
      <c r="D1090" s="5" t="s">
        <v>3270</v>
      </c>
      <c r="E1090" s="3" t="str">
        <f>IFERROR(__xludf.DUMMYFUNCTION("GOOGLETRANSLATE(D1090, ""en"", ""zh-tw"")"),"1. 公司確保遵守安全法規。 2. 未能達到合規標準可能會導致處罰。")</f>
        <v>1. 公司確保遵守安全法規。 2. 未能達到合規標準可能會導致處罰。</v>
      </c>
    </row>
    <row r="1091">
      <c r="A1091" s="5" t="s">
        <v>3271</v>
      </c>
      <c r="B1091" s="6" t="s">
        <v>3272</v>
      </c>
      <c r="C1091" s="5" t="s">
        <v>7</v>
      </c>
      <c r="D1091" s="5" t="s">
        <v>3273</v>
      </c>
      <c r="E1091" s="3" t="str">
        <f>IFERROR(__xludf.DUMMYFUNCTION("GOOGLETRANSLATE(D1091, ""en"", ""zh-tw"")"),"1. 這隻狗經過訓練，能夠服從指令。 2. 所有員工都必須遵守公司規章制度。")</f>
        <v>1. 這隻狗經過訓練，能夠服從指令。 2. 所有員工都必須遵守公司規章制度。</v>
      </c>
    </row>
    <row r="1092">
      <c r="A1092" s="5" t="s">
        <v>3274</v>
      </c>
      <c r="B1092" s="6" t="s">
        <v>3275</v>
      </c>
      <c r="C1092" s="5" t="s">
        <v>279</v>
      </c>
      <c r="D1092" s="5" t="s">
        <v>3276</v>
      </c>
      <c r="E1092" s="3" t="str">
        <f>IFERROR(__xludf.DUMMYFUNCTION("GOOGLETRANSLATE(D1092, ""en"", ""zh-tw"")"),"1. 必須嚴格遵守規則。 2. 遵守進度安排是專案成功的關鍵。")</f>
        <v>1. 必須嚴格遵守規則。 2. 遵守進度安排是專案成功的關鍵。</v>
      </c>
    </row>
    <row r="1093">
      <c r="A1093" s="5" t="s">
        <v>3277</v>
      </c>
      <c r="B1093" s="6" t="s">
        <v>3278</v>
      </c>
      <c r="C1093" s="5" t="s">
        <v>7</v>
      </c>
      <c r="D1093" s="5" t="s">
        <v>3279</v>
      </c>
      <c r="E1093" s="3" t="str">
        <f>IFERROR(__xludf.DUMMYFUNCTION("GOOGLETRANSLATE(D1093, ""en"", ""zh-tw"")"),"1. 在此區域停車違反規定。 2. 該公司因違反安全規定而被罰款。")</f>
        <v>1. 在此區域停車違反規定。 2. 該公司因違反安全規定而被罰款。</v>
      </c>
    </row>
    <row r="1094">
      <c r="A1094" s="5" t="s">
        <v>3280</v>
      </c>
      <c r="B1094" s="6" t="s">
        <v>3281</v>
      </c>
      <c r="C1094" s="5" t="s">
        <v>279</v>
      </c>
      <c r="D1094" s="5" t="s">
        <v>3282</v>
      </c>
      <c r="E1094" s="3" t="str">
        <f>IFERROR(__xludf.DUMMYFUNCTION("GOOGLETRANSLATE(D1094, ""en"", ""zh-tw"")"),"1. 他的行為公然違反了規則。 2. 這次抗議是對政府的公然挑釁。")</f>
        <v>1. 他的行為公然違反了規則。 2. 這次抗議是對政府的公然挑釁。</v>
      </c>
    </row>
    <row r="1095">
      <c r="A1095" s="5" t="s">
        <v>3283</v>
      </c>
      <c r="B1095" s="6" t="s">
        <v>3284</v>
      </c>
      <c r="C1095" s="5" t="s">
        <v>7</v>
      </c>
      <c r="D1095" s="5" t="s">
        <v>3285</v>
      </c>
      <c r="E1095" s="3" t="str">
        <f>IFERROR(__xludf.DUMMYFUNCTION("GOOGLETRANSLATE(D1095, ""en"", ""zh-tw"")"),"1. 所有員工必須遵守安全規章。 2. 公司遵守了新法。")</f>
        <v>1. 所有員工必須遵守安全規章。 2. 公司遵守了新法。</v>
      </c>
    </row>
    <row r="1096">
      <c r="A1096" s="5" t="s">
        <v>3286</v>
      </c>
      <c r="B1096" s="6" t="s">
        <v>3287</v>
      </c>
      <c r="C1096" s="5" t="s">
        <v>7</v>
      </c>
      <c r="D1096" s="5" t="s">
        <v>3288</v>
      </c>
      <c r="E1096" s="3" t="str">
        <f>IFERROR(__xludf.DUMMYFUNCTION("GOOGLETRANSLATE(D1096, ""en"", ""zh-tw"")"),"1. 系統的可靠性非常重要。 2. 我們在使用數據之前測試了其可靠性。")</f>
        <v>1. 系統的可靠性非常重要。 2. 我們在使用數據之前測試了其可靠性。</v>
      </c>
    </row>
    <row r="1097">
      <c r="A1097" s="5" t="s">
        <v>3289</v>
      </c>
      <c r="B1097" s="6" t="s">
        <v>3290</v>
      </c>
      <c r="C1097" s="5" t="s">
        <v>7</v>
      </c>
      <c r="D1097" s="5" t="s">
        <v>3291</v>
      </c>
      <c r="E1097" s="3" t="str">
        <f>IFERROR(__xludf.DUMMYFUNCTION("GOOGLETRANSLATE(D1097, ""en"", ""zh-tw"")"),"1. 這筆貸款需要每月償還。 2. 他償還債務時遇到了困難。")</f>
        <v>1. 這筆貸款需要每月償還。 2. 他償還債務時遇到了困難。</v>
      </c>
    </row>
    <row r="1098">
      <c r="A1098" s="5" t="s">
        <v>3292</v>
      </c>
      <c r="B1098" s="6" t="s">
        <v>3293</v>
      </c>
      <c r="C1098" s="5" t="s">
        <v>7</v>
      </c>
      <c r="D1098" s="5" t="s">
        <v>3294</v>
      </c>
      <c r="E1098" s="3" t="str">
        <f>IFERROR(__xludf.DUMMYFUNCTION("GOOGLETRANSLATE(D1098, ""en"", ""zh-tw"")"),"1. 公司對損失提供了賠償。 2. 員工加班會獲得報酬。")</f>
        <v>1. 公司對損失提供了賠償。 2. 員工加班會獲得報酬。</v>
      </c>
    </row>
    <row r="1099">
      <c r="A1099" s="5" t="s">
        <v>3295</v>
      </c>
      <c r="B1099" s="6" t="s">
        <v>3296</v>
      </c>
      <c r="C1099" s="5" t="s">
        <v>279</v>
      </c>
      <c r="D1099" s="5" t="s">
        <v>3297</v>
      </c>
      <c r="E1099" s="3" t="str">
        <f>IFERROR(__xludf.DUMMYFUNCTION("GOOGLETRANSLATE(D1099, ""en"", ""zh-tw"")"),"1. 本公司將報銷您的差旅費用。 2. 員工可報銷與業務相關的費用。")</f>
        <v>1. 本公司將報銷您的差旅費用。 2. 員工可報銷與業務相關的費用。</v>
      </c>
    </row>
    <row r="1100">
      <c r="A1100" s="5" t="s">
        <v>3298</v>
      </c>
      <c r="B1100" s="6" t="s">
        <v>3299</v>
      </c>
      <c r="C1100" s="5" t="s">
        <v>17</v>
      </c>
      <c r="D1100" s="5" t="s">
        <v>3300</v>
      </c>
      <c r="E1100" s="3" t="str">
        <f>IFERROR(__xludf.DUMMYFUNCTION("GOOGLETRANSLATE(D1100, ""en"", ""zh-tw"")"),"1. 我昨天收到一個來自海外的包裹。 2. 這塊土地被分割成若干小塊。")</f>
        <v>1. 我昨天收到一個來自海外的包裹。 2. 這塊土地被分割成若干小塊。</v>
      </c>
    </row>
    <row r="1101">
      <c r="A1101" s="5" t="s">
        <v>3301</v>
      </c>
      <c r="B1101" s="6" t="s">
        <v>3302</v>
      </c>
      <c r="C1101" s="5" t="s">
        <v>7</v>
      </c>
      <c r="D1101" s="5" t="s">
        <v>3303</v>
      </c>
      <c r="E1101" s="3" t="str">
        <f>IFERROR(__xludf.DUMMYFUNCTION("GOOGLETRANSLATE(D1101, ""en"", ""zh-tw"")"),"1. 工程師對零件進行了精確測量。 2. 請您詳細說明，使其更加精確。")</f>
        <v>1. 工程師對零件進行了精確測量。 2. 請您詳細說明，使其更加精確。</v>
      </c>
    </row>
    <row r="1102">
      <c r="A1102" s="5" t="s">
        <v>3304</v>
      </c>
      <c r="B1102" s="6" t="s">
        <v>3305</v>
      </c>
      <c r="C1102" s="5" t="s">
        <v>7</v>
      </c>
      <c r="D1102" s="5" t="s">
        <v>3306</v>
      </c>
      <c r="E1102" s="3" t="str">
        <f>IFERROR(__xludf.DUMMYFUNCTION("GOOGLETRANSLATE(D1102, ""en"", ""zh-tw"")"),"1. 維修費用非常昂貴。 2. 一個小錯誤可能會對公司造成巨大損失。")</f>
        <v>1. 維修費用非常昂貴。 2. 一個小錯誤可能會對公司造成巨大損失。</v>
      </c>
    </row>
    <row r="1103">
      <c r="A1103" s="5" t="s">
        <v>3307</v>
      </c>
      <c r="B1103" s="6" t="s">
        <v>3308</v>
      </c>
      <c r="C1103" s="5" t="s">
        <v>17</v>
      </c>
      <c r="D1103" s="5" t="s">
        <v>3309</v>
      </c>
      <c r="E1103" s="3" t="str">
        <f>IFERROR(__xludf.DUMMYFUNCTION("GOOGLETRANSLATE(D1103, ""en"", ""zh-tw"")"),"這家餐廳價格有點貴，但食物很棒。")</f>
        <v>這家餐廳價格有點貴，但食物很棒。</v>
      </c>
    </row>
    <row r="1104">
      <c r="A1104" s="5" t="s">
        <v>3310</v>
      </c>
      <c r="B1104" s="6" t="s">
        <v>3311</v>
      </c>
      <c r="C1104" s="5" t="s">
        <v>17</v>
      </c>
      <c r="D1104" s="5" t="s">
        <v>3312</v>
      </c>
      <c r="E1104" s="3" t="str">
        <f>IFERROR(__xludf.DUMMYFUNCTION("GOOGLETRANSLATE(D1104, ""en"", ""zh-tw"")"),"1. 這是一款價格低廉但品質優良的產品。 2. 我們在車站附近找到了一家價格實惠的飯店。")</f>
        <v>1. 這是一款價格低廉但品質優良的產品。 2. 我們在車站附近找到了一家價格實惠的飯店。</v>
      </c>
    </row>
    <row r="1105">
      <c r="A1105" s="5" t="s">
        <v>3313</v>
      </c>
      <c r="B1105" s="6" t="s">
        <v>3314</v>
      </c>
      <c r="C1105" s="5" t="s">
        <v>17</v>
      </c>
      <c r="D1105" s="5" t="s">
        <v>3315</v>
      </c>
      <c r="E1105" s="3" t="str">
        <f>IFERROR(__xludf.DUMMYFUNCTION("GOOGLETRANSLATE(D1105, ""en"", ""zh-tw"")"),"我們在一家自助餐廳吃了晚餐。")</f>
        <v>我們在一家自助餐廳吃了晚餐。</v>
      </c>
    </row>
    <row r="1106">
      <c r="A1106" s="5" t="s">
        <v>3316</v>
      </c>
      <c r="B1106" s="6" t="s">
        <v>3317</v>
      </c>
      <c r="C1106" s="5" t="s">
        <v>279</v>
      </c>
      <c r="D1106" s="5" t="s">
        <v>3318</v>
      </c>
      <c r="E1106" s="3" t="str">
        <f>IFERROR(__xludf.DUMMYFUNCTION("GOOGLETRANSLATE(D1106, ""en"", ""zh-tw"")"),"1. 這家餐廳提供琳瑯滿目的國際美食。 2. 這個節日匯集了音樂、美食和藝術，精彩。")</f>
        <v>1. 這家餐廳提供琳瑯滿目的國際美食。 2. 這個節日匯集了音樂、美食和藝術，精彩。</v>
      </c>
    </row>
    <row r="1107">
      <c r="A1107" s="5" t="s">
        <v>3319</v>
      </c>
      <c r="B1107" s="6" t="s">
        <v>3320</v>
      </c>
      <c r="C1107" s="5" t="s">
        <v>17</v>
      </c>
      <c r="D1107" s="5" t="s">
        <v>3321</v>
      </c>
      <c r="E1107" s="3" t="str">
        <f>IFERROR(__xludf.DUMMYFUNCTION("GOOGLETRANSLATE(D1107, ""en"", ""zh-tw"")"),"1. 她端著一托盤咖啡走到桌邊。 2. 請把你的東西放在托盤裡。")</f>
        <v>1. 她端著一托盤咖啡走到桌邊。 2. 請把你的東西放在托盤裡。</v>
      </c>
    </row>
    <row r="1108">
      <c r="A1108" s="5" t="s">
        <v>3322</v>
      </c>
      <c r="B1108" s="6" t="s">
        <v>3323</v>
      </c>
      <c r="C1108" s="5" t="s">
        <v>17</v>
      </c>
      <c r="D1108" s="5" t="s">
        <v>3324</v>
      </c>
      <c r="E1108" s="3" t="str">
        <f>IFERROR(__xludf.DUMMYFUNCTION("GOOGLETRANSLATE(D1108, ""en"", ""zh-tw"")"),"1. 列車時刻表已更新。 2. 我查看了明天的課程表。")</f>
        <v>1. 列車時刻表已更新。 2. 我查看了明天的課程表。</v>
      </c>
    </row>
    <row r="1109">
      <c r="A1109" s="5" t="s">
        <v>3325</v>
      </c>
      <c r="B1109" s="6" t="s">
        <v>3326</v>
      </c>
      <c r="C1109" s="5" t="s">
        <v>279</v>
      </c>
      <c r="D1109" s="5" t="s">
        <v>3327</v>
      </c>
      <c r="E1109" s="3" t="str">
        <f>IFERROR(__xludf.DUMMYFUNCTION("GOOGLETRANSLATE(D1109, ""en"", ""zh-tw"")"),"1. 該報告按時間順序呈現了事件。 2. 這本書闡述了古代文明的年代順序。")</f>
        <v>1. 該報告按時間順序呈現了事件。 2. 這本書闡述了古代文明的年代順序。</v>
      </c>
    </row>
    <row r="1110">
      <c r="A1110" s="5" t="s">
        <v>3328</v>
      </c>
      <c r="B1110" s="6" t="s">
        <v>3329</v>
      </c>
      <c r="C1110" s="5" t="s">
        <v>7</v>
      </c>
      <c r="D1110" s="5" t="s">
        <v>3330</v>
      </c>
      <c r="E1110" s="3" t="str">
        <f>IFERROR(__xludf.DUMMYFUNCTION("GOOGLETRANSLATE(D1110, ""en"", ""zh-tw"")"),"1. 系統會定期進行錯誤檢查。 2. 她總是提前到崗。")</f>
        <v>1. 系統會定期進行錯誤檢查。 2. 她總是提前到崗。</v>
      </c>
    </row>
    <row r="1111">
      <c r="A1111" s="5" t="s">
        <v>3331</v>
      </c>
      <c r="B1111" s="6" t="s">
        <v>3332</v>
      </c>
      <c r="C1111" s="5" t="s">
        <v>17</v>
      </c>
      <c r="D1111" s="5" t="s">
        <v>3333</v>
      </c>
      <c r="E1111" s="3" t="str">
        <f>IFERROR(__xludf.DUMMYFUNCTION("GOOGLETRANSLATE(D1111, ""en"", ""zh-tw"")"),"1. 我需要收拾行李準備旅行。 2. 他買了一包電池。")</f>
        <v>1. 我需要收拾行李準備旅行。 2. 他買了一包電池。</v>
      </c>
    </row>
    <row r="1112">
      <c r="A1112" s="5" t="s">
        <v>3334</v>
      </c>
      <c r="B1112" s="6" t="s">
        <v>3335</v>
      </c>
      <c r="C1112" s="5" t="s">
        <v>17</v>
      </c>
      <c r="D1112" s="5" t="s">
        <v>3336</v>
      </c>
      <c r="E1112" s="3" t="str">
        <f>IFERROR(__xludf.DUMMYFUNCTION("GOOGLETRANSLATE(D1112, ""en"", ""zh-tw"")"),"請問洗手間在哪裡？")</f>
        <v>請問洗手間在哪裡？</v>
      </c>
    </row>
    <row r="1113">
      <c r="A1113" s="5" t="s">
        <v>3337</v>
      </c>
      <c r="B1113" s="6" t="s">
        <v>3338</v>
      </c>
      <c r="C1113" s="5" t="s">
        <v>17</v>
      </c>
      <c r="D1113" s="5" t="s">
        <v>3339</v>
      </c>
      <c r="E1113" s="3" t="str">
        <f>IFERROR(__xludf.DUMMYFUNCTION("GOOGLETRANSLATE(D1113, ""en"", ""zh-tw"")"),"1. 運動是她日常生活的一部分。 2. 醫生為她做了例行檢查。")</f>
        <v>1. 運動是她日常生活的一部分。 2. 醫生為她做了例行檢查。</v>
      </c>
    </row>
    <row r="1114">
      <c r="A1114" s="5" t="s">
        <v>3340</v>
      </c>
      <c r="B1114" s="6" t="s">
        <v>3341</v>
      </c>
      <c r="C1114" s="5" t="s">
        <v>7</v>
      </c>
      <c r="D1114" s="5" t="s">
        <v>3342</v>
      </c>
      <c r="E1114" s="3" t="str">
        <f>IFERROR(__xludf.DUMMYFUNCTION("GOOGLETRANSLATE(D1114, ""en"", ""zh-tw"")"),"1. 照明設備上週更換了。 2. 他已經成為公司裡的中流砥柱。")</f>
        <v>1. 照明設備上週更換了。 2. 他已經成為公司裡的中流砥柱。</v>
      </c>
    </row>
    <row r="1115">
      <c r="A1115" s="5" t="s">
        <v>3343</v>
      </c>
      <c r="B1115" s="6" t="s">
        <v>3344</v>
      </c>
      <c r="C1115" s="5" t="s">
        <v>7</v>
      </c>
      <c r="D1115" s="5" t="s">
        <v>3345</v>
      </c>
      <c r="E1115" s="3" t="str">
        <f>IFERROR(__xludf.DUMMYFUNCTION("GOOGLETRANSLATE(D1115, ""en"", ""zh-tw"")"),"1. 他們入住了一間豪華飯店套房。 2. 該公司使用一套辦公室軟體。")</f>
        <v>1. 他們入住了一間豪華飯店套房。 2. 該公司使用一套辦公室軟體。</v>
      </c>
    </row>
    <row r="1116">
      <c r="A1116" s="5" t="s">
        <v>3346</v>
      </c>
      <c r="B1116" s="6" t="s">
        <v>3347</v>
      </c>
      <c r="C1116" s="5" t="s">
        <v>7</v>
      </c>
      <c r="D1116" s="5" t="s">
        <v>3348</v>
      </c>
      <c r="E1116" s="3" t="str">
        <f>IFERROR(__xludf.DUMMYFUNCTION("GOOGLETRANSLATE(D1116, ""en"", ""zh-tw"")"),"1. 他花時間幫他的狗梳毛。 2. 公司正在培養她擔任領導職務。")</f>
        <v>1. 他花時間幫他的狗梳毛。 2. 公司正在培養她擔任領導職務。</v>
      </c>
    </row>
    <row r="1117">
      <c r="A1117" s="5" t="s">
        <v>3349</v>
      </c>
      <c r="B1117" s="6" t="s">
        <v>3350</v>
      </c>
      <c r="C1117" s="5" t="s">
        <v>7</v>
      </c>
      <c r="D1117" s="5" t="s">
        <v>3351</v>
      </c>
      <c r="E1117" s="3" t="str">
        <f>IFERROR(__xludf.DUMMYFUNCTION("GOOGLETRANSLATE(D1117, ""en"", ""zh-tw"")"),"1. 我們測試了該軟體與不同系統的兼容性。 2. 性格相合在團隊合作中至關重要。")</f>
        <v>1. 我們測試了該軟體與不同系統的兼容性。 2. 性格相合在團隊合作中至關重要。</v>
      </c>
    </row>
    <row r="1118">
      <c r="A1118" s="5" t="s">
        <v>3352</v>
      </c>
      <c r="B1118" s="6" t="s">
        <v>3353</v>
      </c>
      <c r="C1118" s="5" t="s">
        <v>17</v>
      </c>
      <c r="D1118" s="5" t="s">
        <v>3354</v>
      </c>
      <c r="E1118" s="3" t="str">
        <f>IFERROR(__xludf.DUMMYFUNCTION("GOOGLETRANSLATE(D1118, ""en"", ""zh-tw"")"),"1. 鞋子在門邊的架子上。 2. 伺服器機架裡裝有多個網路設備。")</f>
        <v>1. 鞋子在門邊的架子上。 2. 伺服器機架裡裝有多個網路設備。</v>
      </c>
    </row>
    <row r="1119">
      <c r="A1119" s="5" t="s">
        <v>3355</v>
      </c>
      <c r="B1119" s="6" t="s">
        <v>3356</v>
      </c>
      <c r="C1119" s="5" t="s">
        <v>7</v>
      </c>
      <c r="D1119" s="5" t="s">
        <v>3357</v>
      </c>
      <c r="E1119" s="3" t="str">
        <f>IFERROR(__xludf.DUMMYFUNCTION("GOOGLETRANSLATE(D1119, ""en"", ""zh-tw"")"),"1. 請在報告中註明參考文獻。 2. 文章引用了多項科學研究。")</f>
        <v>1. 請在報告中註明參考文獻。 2. 文章引用了多項科學研究。</v>
      </c>
    </row>
    <row r="1120">
      <c r="A1120" s="5" t="s">
        <v>3358</v>
      </c>
      <c r="B1120" s="6" t="s">
        <v>3359</v>
      </c>
      <c r="C1120" s="5" t="s">
        <v>17</v>
      </c>
      <c r="D1120" s="5" t="s">
        <v>3360</v>
      </c>
      <c r="E1120" s="3" t="str">
        <f>IFERROR(__xludf.DUMMYFUNCTION("GOOGLETRANSLATE(D1120, ""en"", ""zh-tw"")"),"1. 工作人員會協助您完成整個流程。 2. 她協助他準備了簡報。")</f>
        <v>1. 工作人員會協助您完成整個流程。 2. 她協助他準備了簡報。</v>
      </c>
    </row>
    <row r="1121">
      <c r="A1121" s="5" t="s">
        <v>3361</v>
      </c>
      <c r="B1121" s="6" t="s">
        <v>3362</v>
      </c>
      <c r="C1121" s="5" t="s">
        <v>7</v>
      </c>
      <c r="D1121" s="5" t="s">
        <v>3363</v>
      </c>
      <c r="E1121" s="3" t="str">
        <f>IFERROR(__xludf.DUMMYFUNCTION("GOOGLETRANSLATE(D1121, ""en"", ""zh-tw"")"),"1. 惡劣天氣可能會阻礙專案進度。 2. 資金短缺阻礙了公司的擴張。")</f>
        <v>1. 惡劣天氣可能會阻礙專案進度。 2. 資金短缺阻礙了公司的擴張。</v>
      </c>
    </row>
    <row r="1122">
      <c r="A1122" s="5" t="s">
        <v>3364</v>
      </c>
      <c r="B1122" s="6" t="s">
        <v>3365</v>
      </c>
      <c r="C1122" s="5" t="s">
        <v>279</v>
      </c>
      <c r="D1122" s="5" t="s">
        <v>3366</v>
      </c>
      <c r="E1122" s="3" t="str">
        <f>IFERROR(__xludf.DUMMYFUNCTION("GOOGLETRANSLATE(D1122, ""en"", ""zh-tw"")"),"1. 道路被倒下的樹木堵塞。 2. 請勿堵塞緊急出口。")</f>
        <v>1. 道路被倒下的樹木堵塞。 2. 請勿堵塞緊急出口。</v>
      </c>
    </row>
    <row r="1123">
      <c r="A1123" s="5" t="s">
        <v>3367</v>
      </c>
      <c r="B1123" s="6" t="s">
        <v>3368</v>
      </c>
      <c r="C1123" s="5" t="s">
        <v>17</v>
      </c>
      <c r="D1123" s="5" t="s">
        <v>3369</v>
      </c>
      <c r="E1123" s="3" t="str">
        <f>IFERROR(__xludf.DUMMYFUNCTION("GOOGLETRANSLATE(D1123, ""en"", ""zh-tw"")"),"1. 她參加了一個關於行銷策略的研討會。 2. 這所大學每週都為學生提供研討會。")</f>
        <v>1. 她參加了一個關於行銷策略的研討會。 2. 這所大學每週都為學生提供研討會。</v>
      </c>
    </row>
    <row r="1124">
      <c r="A1124" s="5" t="s">
        <v>3370</v>
      </c>
      <c r="B1124" s="6" t="s">
        <v>3371</v>
      </c>
      <c r="C1124" s="5" t="s">
        <v>17</v>
      </c>
      <c r="D1124" s="5" t="s">
        <v>3372</v>
      </c>
      <c r="E1124" s="3" t="str">
        <f>IFERROR(__xludf.DUMMYFUNCTION("GOOGLETRANSLATE(D1124, ""en"", ""zh-tw"")"),"1. 這家商店提供種類繁多的商品。 2. 我們的日常飲食需要更加多樣化。")</f>
        <v>1. 這家商店提供種類繁多的商品。 2. 我們的日常飲食需要更加多樣化。</v>
      </c>
    </row>
    <row r="1125">
      <c r="A1125" s="5" t="s">
        <v>3373</v>
      </c>
      <c r="B1125" s="6" t="s">
        <v>3374</v>
      </c>
      <c r="C1125" s="5" t="s">
        <v>279</v>
      </c>
      <c r="D1125" s="5" t="s">
        <v>3375</v>
      </c>
      <c r="E1125" s="3" t="str">
        <f>IFERROR(__xludf.DUMMYFUNCTION("GOOGLETRANSLATE(D1125, ""en"", ""zh-tw"")"),"1. 公司力求產品品質統一。 2. 流程統一有助於減少錯誤。")</f>
        <v>1. 公司力求產品品質統一。 2. 流程統一有助於減少錯誤。</v>
      </c>
    </row>
    <row r="1126">
      <c r="A1126" s="5" t="s">
        <v>3376</v>
      </c>
      <c r="B1126" s="6" t="s">
        <v>3377</v>
      </c>
      <c r="C1126" s="5" t="s">
        <v>17</v>
      </c>
      <c r="D1126" s="5" t="s">
        <v>3378</v>
      </c>
      <c r="E1126" s="3" t="str">
        <f>IFERROR(__xludf.DUMMYFUNCTION("GOOGLETRANSLATE(D1126, ""en"", ""zh-tw"")"),"將遊標移至行首。")</f>
        <v>將遊標移至行首。</v>
      </c>
    </row>
    <row r="1127">
      <c r="A1127" s="5" t="s">
        <v>3379</v>
      </c>
      <c r="B1127" s="6" t="s">
        <v>3380</v>
      </c>
      <c r="C1127" s="5" t="s">
        <v>17</v>
      </c>
      <c r="D1127" s="5" t="s">
        <v>3381</v>
      </c>
      <c r="E1127" s="3" t="str">
        <f>IFERROR(__xludf.DUMMYFUNCTION("GOOGLETRANSLATE(D1127, ""en"", ""zh-tw"")"),"1. 螢幕上的指標會顯示你正在輸入的位置。 2. 老師給了我們一些考試的實用建議。")</f>
        <v>1. 螢幕上的指標會顯示你正在輸入的位置。 2. 老師給了我們一些考試的實用建議。</v>
      </c>
    </row>
    <row r="1128">
      <c r="A1128" s="5" t="s">
        <v>3382</v>
      </c>
      <c r="B1128" s="6" t="s">
        <v>3383</v>
      </c>
      <c r="C1128" s="5" t="s">
        <v>279</v>
      </c>
      <c r="D1128" s="5" t="s">
        <v>3384</v>
      </c>
      <c r="E1128" s="3" t="str">
        <f>IFERROR(__xludf.DUMMYFUNCTION("GOOGLETRANSLATE(D1128, ""en"", ""zh-tw"")"),"1. 該公司多年虧損後破產。 2. 破產的企業可能需要重組。")</f>
        <v>1. 該公司多年虧損後破產。 2. 破產的企業可能需要重組。</v>
      </c>
    </row>
    <row r="1129">
      <c r="A1129" s="5" t="s">
        <v>3385</v>
      </c>
      <c r="B1129" s="6" t="s">
        <v>3386</v>
      </c>
      <c r="C1129" s="5" t="s">
        <v>279</v>
      </c>
      <c r="D1129" s="5" t="s">
        <v>3387</v>
      </c>
      <c r="E1129" s="3" t="str">
        <f>IFERROR(__xludf.DUMMYFUNCTION("GOOGLETRANSLATE(D1129, ""en"", ""zh-tw"")"),"1. 儘管面臨危機，該公司仍保持償付能力。 2. 丙酮是一種常見的工業溶劑。")</f>
        <v>1. 儘管面臨危機，該公司仍保持償付能力。 2. 丙酮是一種常見的工業溶劑。</v>
      </c>
    </row>
    <row r="1130">
      <c r="A1130" s="5" t="s">
        <v>3388</v>
      </c>
      <c r="B1130" s="6" t="s">
        <v>3389</v>
      </c>
      <c r="C1130" s="5" t="s">
        <v>279</v>
      </c>
      <c r="D1130" s="5" t="s">
        <v>3390</v>
      </c>
      <c r="E1130" s="3" t="str">
        <f>IFERROR(__xludf.DUMMYFUNCTION("GOOGLETRANSLATE(D1130, ""en"", ""zh-tw"")"),"1. 該協議已獲得兩國政府批准。 2. 董事會將於下週批准該決定。")</f>
        <v>1. 該協議已獲得兩國政府批准。 2. 董事會將於下週批准該決定。</v>
      </c>
    </row>
    <row r="1131">
      <c r="A1131" s="5" t="s">
        <v>3391</v>
      </c>
      <c r="B1131" s="6" t="s">
        <v>3392</v>
      </c>
      <c r="C1131" s="5" t="s">
        <v>279</v>
      </c>
      <c r="D1131" s="5" t="s">
        <v>3393</v>
      </c>
      <c r="E1131" s="3" t="str">
        <f>IFERROR(__xludf.DUMMYFUNCTION("GOOGLETRANSLATE(D1131, ""en"", ""zh-tw"")"),"1. 該組織認可了這項新政策。 2. 她在存入支票前在支票背面簽了名。")</f>
        <v>1. 該組織認可了這項新政策。 2. 她在存入支票前在支票背面簽了名。</v>
      </c>
    </row>
    <row r="1132">
      <c r="A1132" s="5" t="s">
        <v>3394</v>
      </c>
      <c r="B1132" s="6" t="s">
        <v>3395</v>
      </c>
      <c r="C1132" s="5" t="s">
        <v>279</v>
      </c>
      <c r="D1132" s="5" t="s">
        <v>3396</v>
      </c>
      <c r="E1132" s="3" t="str">
        <f>IFERROR(__xludf.DUMMYFUNCTION("GOOGLETRANSLATE(D1132, ""en"", ""zh-tw"")"),"1. 總統有權否決該法案。 2. 該提案已被董事會否決。")</f>
        <v>1. 總統有權否決該法案。 2. 該提案已被董事會否決。</v>
      </c>
    </row>
    <row r="1133">
      <c r="A1133" s="5" t="s">
        <v>3397</v>
      </c>
      <c r="B1133" s="6" t="s">
        <v>3398</v>
      </c>
      <c r="C1133" s="5" t="s">
        <v>7</v>
      </c>
      <c r="D1133" s="5" t="s">
        <v>3399</v>
      </c>
      <c r="E1133" s="3" t="str">
        <f>IFERROR(__xludf.DUMMYFUNCTION("GOOGLETRANSLATE(D1133, ""en"", ""zh-tw"")"),"1. 經理有權批准預算。 2. 地方當局發出了警告。 3. 她是環境問題的權威。")</f>
        <v>1. 經理有權批准預算。 2. 地方當局發出了警告。 3. 她是環境問題的權威。</v>
      </c>
    </row>
    <row r="1134">
      <c r="A1134" s="5" t="s">
        <v>3400</v>
      </c>
      <c r="B1134" s="6" t="s">
        <v>3401</v>
      </c>
      <c r="C1134" s="5" t="s">
        <v>17</v>
      </c>
      <c r="D1134" s="5" t="s">
        <v>3402</v>
      </c>
      <c r="E1134" s="3" t="str">
        <f>IFERROR(__xludf.DUMMYFUNCTION("GOOGLETRANSLATE(D1134, ""en"", ""zh-tw"")"),"1. 登機口為5號。 2. 她小時候上過寄宿學校。")</f>
        <v>1. 登機口為5號。 2. 她小時候上過寄宿學校。</v>
      </c>
    </row>
    <row r="1135">
      <c r="A1135" s="5" t="s">
        <v>3403</v>
      </c>
      <c r="B1135" s="6" t="s">
        <v>3404</v>
      </c>
      <c r="C1135" s="5" t="s">
        <v>17</v>
      </c>
      <c r="D1135" s="5" t="s">
        <v>3405</v>
      </c>
      <c r="E1135" s="3" t="str">
        <f>IFERROR(__xludf.DUMMYFUNCTION("GOOGLETRANSLATE(D1135, ""en"", ""zh-tw"")"),"該網站提供互動式學習體驗。")</f>
        <v>該網站提供互動式學習體驗。</v>
      </c>
    </row>
    <row r="1136">
      <c r="A1136" s="5" t="s">
        <v>3406</v>
      </c>
      <c r="B1136" s="6" t="s">
        <v>3407</v>
      </c>
      <c r="C1136" s="5" t="s">
        <v>7</v>
      </c>
      <c r="D1136" s="5" t="s">
        <v>3408</v>
      </c>
      <c r="E1136" s="3" t="str">
        <f>IFERROR(__xludf.DUMMYFUNCTION("GOOGLETRANSLATE(D1136, ""en"", ""zh-tw"")"),"1. 我們採用雙向通訊系統。 2. 這條路是雙向車道。")</f>
        <v>1. 我們採用雙向通訊系統。 2. 這條路是雙向車道。</v>
      </c>
    </row>
    <row r="1137">
      <c r="A1137" s="5" t="s">
        <v>3409</v>
      </c>
      <c r="B1137" s="6" t="s">
        <v>3410</v>
      </c>
      <c r="C1137" s="5" t="s">
        <v>279</v>
      </c>
      <c r="D1137" s="5" t="s">
        <v>3411</v>
      </c>
      <c r="E1137" s="3" t="str">
        <f>IFERROR(__xludf.DUMMYFUNCTION("GOOGLETRANSLATE(D1137, ""en"", ""zh-tw"")"),"1. 系統以非互動模式運作。 2. 這是一個用於資料處理的非互動式腳本。")</f>
        <v>1. 系統以非互動模式運作。 2. 這是一個用於資料處理的非互動式腳本。</v>
      </c>
    </row>
    <row r="1138">
      <c r="A1138" s="5" t="s">
        <v>3412</v>
      </c>
      <c r="B1138" s="6" t="s">
        <v>3413</v>
      </c>
      <c r="C1138" s="5" t="s">
        <v>17</v>
      </c>
      <c r="D1138" s="5" t="s">
        <v>3414</v>
      </c>
      <c r="E1138" s="3" t="str">
        <f>IFERROR(__xludf.DUMMYFUNCTION("GOOGLETRANSLATE(D1138, ""en"", ""zh-tw"")"),"1. 結果顯示情況有了顯著改善。 2. 他表示會參加會議。")</f>
        <v>1. 結果顯示情況有了顯著改善。 2. 他表示會參加會議。</v>
      </c>
    </row>
    <row r="1139">
      <c r="A1139" s="5" t="s">
        <v>3415</v>
      </c>
      <c r="B1139" s="6" t="s">
        <v>3416</v>
      </c>
      <c r="C1139" s="5" t="s">
        <v>17</v>
      </c>
      <c r="D1139" s="5" t="s">
        <v>3417</v>
      </c>
      <c r="E1139" s="3" t="str">
        <f>IFERROR(__xludf.DUMMYFUNCTION("GOOGLETRANSLATE(D1139, ""en"", ""zh-tw"")"),"1. 她指出了報告中的一個錯誤。 2. 老師強調了練習的重要性。")</f>
        <v>1. 她指出了報告中的一個錯誤。 2. 老師強調了練習的重要性。</v>
      </c>
    </row>
    <row r="1140">
      <c r="A1140" s="5" t="s">
        <v>3418</v>
      </c>
      <c r="B1140" s="6" t="s">
        <v>3419</v>
      </c>
      <c r="C1140" s="5" t="s">
        <v>17</v>
      </c>
      <c r="D1140" s="5" t="s">
        <v>3420</v>
      </c>
      <c r="E1140" s="3" t="str">
        <f>IFERROR(__xludf.DUMMYFUNCTION("GOOGLETRANSLATE(D1140, ""en"", ""zh-tw"")"),"1. 該建築方便殘障人士出入。 2. 訊息簡單易懂，適合初學者。")</f>
        <v>1. 該建築方便殘障人士出入。 2. 訊息簡單易懂，適合初學者。</v>
      </c>
    </row>
    <row r="1141">
      <c r="A1141" s="5" t="s">
        <v>3421</v>
      </c>
      <c r="B1141" s="6" t="s">
        <v>3422</v>
      </c>
      <c r="C1141" s="5" t="s">
        <v>7</v>
      </c>
      <c r="D1141" s="5" t="s">
        <v>3423</v>
      </c>
      <c r="E1141" s="3" t="str">
        <f>IFERROR(__xludf.DUMMYFUNCTION("GOOGLETRANSLATE(D1141, ""en"", ""zh-tw"")"),"1. 這棟建築的維護費用非常高昂。 2. 定期維護對於維持系統平穩運作至關重要。")</f>
        <v>1. 這棟建築的維護費用非常高昂。 2. 定期維護對於維持系統平穩運作至關重要。</v>
      </c>
    </row>
    <row r="1142">
      <c r="A1142" s="5" t="s">
        <v>3424</v>
      </c>
      <c r="B1142" s="6" t="s">
        <v>3425</v>
      </c>
      <c r="C1142" s="5" t="s">
        <v>7</v>
      </c>
      <c r="D1142" s="5" t="s">
        <v>3426</v>
      </c>
      <c r="E1142" s="3" t="str">
        <f>IFERROR(__xludf.DUMMYFUNCTION("GOOGLETRANSLATE(D1142, ""en"", ""zh-tw"")"),"1. 他多年來忽視了自己的健康。 2. 這棟建築被廢棄後年久失修。")</f>
        <v>1. 他多年來忽視了自己的健康。 2. 這棟建築被廢棄後年久失修。</v>
      </c>
    </row>
    <row r="1143">
      <c r="A1143" s="5" t="s">
        <v>3427</v>
      </c>
      <c r="B1143" s="6" t="s">
        <v>3428</v>
      </c>
      <c r="C1143" s="5" t="s">
        <v>17</v>
      </c>
      <c r="D1143" s="5" t="s">
        <v>3429</v>
      </c>
      <c r="E1143" s="3" t="str">
        <f>IFERROR(__xludf.DUMMYFUNCTION("GOOGLETRANSLATE(D1143, ""en"", ""zh-tw"")"),"1. 該公司提供的價格很有競爭力。 2. 就業市場競爭非常激烈。")</f>
        <v>1. 該公司提供的價格很有競爭力。 2. 就業市場競爭非常激烈。</v>
      </c>
    </row>
    <row r="1144">
      <c r="A1144" s="5" t="s">
        <v>3430</v>
      </c>
      <c r="B1144" s="6" t="s">
        <v>3431</v>
      </c>
      <c r="C1144" s="5" t="s">
        <v>7</v>
      </c>
      <c r="D1144" s="5" t="s">
        <v>3432</v>
      </c>
      <c r="E1144" s="3" t="str">
        <f>IFERROR(__xludf.DUMMYFUNCTION("GOOGLETRANSLATE(D1144, ""en"", ""zh-tw"")"),"1. 有人靠近時，狗變得具有攻擊性。 2. 這家公司採取了激進的行銷策略。")</f>
        <v>1. 有人靠近時，狗變得具有攻擊性。 2. 這家公司採取了激進的行銷策略。</v>
      </c>
    </row>
    <row r="1145">
      <c r="A1145" s="5" t="s">
        <v>3433</v>
      </c>
      <c r="B1145" s="6" t="s">
        <v>3434</v>
      </c>
      <c r="C1145" s="5" t="s">
        <v>17</v>
      </c>
      <c r="D1145" s="5" t="s">
        <v>3435</v>
      </c>
      <c r="E1145" s="3" t="str">
        <f>IFERROR(__xludf.DUMMYFUNCTION("GOOGLETRANSLATE(D1145, ""en"", ""zh-tw"")"),"所有客戶資訊都儲存在資料庫中。")</f>
        <v>所有客戶資訊都儲存在資料庫中。</v>
      </c>
    </row>
    <row r="1146">
      <c r="A1146" s="5" t="s">
        <v>3436</v>
      </c>
      <c r="B1146" s="6" t="s">
        <v>3437</v>
      </c>
      <c r="C1146" s="5" t="s">
        <v>17</v>
      </c>
      <c r="D1146" s="5" t="s">
        <v>3438</v>
      </c>
      <c r="E1146" s="3" t="str">
        <f>IFERROR(__xludf.DUMMYFUNCTION("GOOGLETRANSLATE(D1146, ""en"", ""zh-tw"")"),"事故發生在高速公路。")</f>
        <v>事故發生在高速公路。</v>
      </c>
    </row>
    <row r="1147">
      <c r="A1147" s="5" t="s">
        <v>3439</v>
      </c>
      <c r="B1147" s="6" t="s">
        <v>3440</v>
      </c>
      <c r="C1147" s="5" t="s">
        <v>7</v>
      </c>
      <c r="D1147" s="5" t="s">
        <v>3441</v>
      </c>
      <c r="E1147" s="3" t="str">
        <f>IFERROR(__xludf.DUMMYFUNCTION("GOOGLETRANSLATE(D1147, ""en"", ""zh-tw"")"),"1. 學校已更新課程。 2. 課程包括科學、數學和語言學習。")</f>
        <v>1. 學校已更新課程。 2. 課程包括科學、數學和語言學習。</v>
      </c>
    </row>
    <row r="1148">
      <c r="A1148" s="5" t="s">
        <v>3442</v>
      </c>
      <c r="B1148" s="6" t="s">
        <v>3443</v>
      </c>
      <c r="C1148" s="5" t="s">
        <v>7</v>
      </c>
      <c r="D1148" s="5" t="s">
        <v>3444</v>
      </c>
      <c r="E1148" s="3" t="str">
        <f>IFERROR(__xludf.DUMMYFUNCTION("GOOGLETRANSLATE(D1148, ""en"", ""zh-tw"")"),"1. 本公司已就延誤向客戶作出賠償。 2. 任何補償都無法彌補寶貴時間的損失。")</f>
        <v>1. 本公司已就延誤向客戶作出賠償。 2. 任何補償都無法彌補寶貴時間的損失。</v>
      </c>
    </row>
    <row r="1149">
      <c r="A1149" s="5" t="s">
        <v>3445</v>
      </c>
      <c r="B1149" s="6" t="s">
        <v>3446</v>
      </c>
      <c r="C1149" s="5" t="s">
        <v>7</v>
      </c>
      <c r="D1149" s="5" t="s">
        <v>3447</v>
      </c>
      <c r="E1149" s="3" t="str">
        <f>IFERROR(__xludf.DUMMYFUNCTION("GOOGLETRANSLATE(D1149, ""en"", ""zh-tw"")"),"1. 該報告包含一份說明性註釋。 2. 老師提供了一張說明圖。")</f>
        <v>1. 該報告包含一份說明性註釋。 2. 老師提供了一張說明圖。</v>
      </c>
    </row>
    <row r="1150">
      <c r="A1150" s="5" t="s">
        <v>3448</v>
      </c>
      <c r="B1150" s="6" t="s">
        <v>3449</v>
      </c>
      <c r="C1150" s="5" t="s">
        <v>279</v>
      </c>
      <c r="D1150" s="5" t="s">
        <v>3450</v>
      </c>
      <c r="E1150" s="3" t="str">
        <f>IFERROR(__xludf.DUMMYFUNCTION("GOOGLETRANSLATE(D1150, ""en"", ""zh-tw"")"),"1. 此圖表顯示了近期市場趨勢。 2. 她提供了例證來支持她的論點。")</f>
        <v>1. 此圖表顯示了近期市場趨勢。 2. 她提供了例證來支持她的論點。</v>
      </c>
    </row>
    <row r="1151">
      <c r="A1151" s="5" t="s">
        <v>3451</v>
      </c>
      <c r="B1151" s="6" t="s">
        <v>3452</v>
      </c>
      <c r="C1151" s="5" t="s">
        <v>7</v>
      </c>
      <c r="D1151" s="5" t="s">
        <v>3453</v>
      </c>
      <c r="E1151" s="3" t="str">
        <f>IFERROR(__xludf.DUMMYFUNCTION("GOOGLETRANSLATE(D1151, ""en"", ""zh-tw"")"),"1. 這份報告包含了關於該項目的描述性資訊。 2. 她寫了一篇非常生動的旅行遊記。")</f>
        <v>1. 這份報告包含了關於該項目的描述性資訊。 2. 她寫了一篇非常生動的旅行遊記。</v>
      </c>
    </row>
    <row r="1152">
      <c r="A1152" s="5" t="s">
        <v>3454</v>
      </c>
      <c r="B1152" s="6" t="s">
        <v>3455</v>
      </c>
      <c r="C1152" s="5" t="s">
        <v>7</v>
      </c>
      <c r="D1152" s="5" t="s">
        <v>3456</v>
      </c>
      <c r="E1152" s="3" t="str">
        <f>IFERROR(__xludf.DUMMYFUNCTION("GOOGLETRANSLATE(D1152, ""en"", ""zh-tw"")"),"1. 我們最後入住了另一家飯店。 2. 該公司將於明年停止營運。")</f>
        <v>1. 我們最後入住了另一家飯店。 2. 該公司將於明年停止營運。</v>
      </c>
    </row>
    <row r="1153">
      <c r="A1153" s="5" t="s">
        <v>3457</v>
      </c>
      <c r="B1153" s="6" t="s">
        <v>3458</v>
      </c>
      <c r="C1153" s="5" t="s">
        <v>7</v>
      </c>
      <c r="D1153" s="5" t="s">
        <v>3459</v>
      </c>
      <c r="E1153" s="3" t="str">
        <f>IFERROR(__xludf.DUMMYFUNCTION("GOOGLETRANSLATE(D1153, ""en"", ""zh-tw"")"),"1. 會議非常成功。 2. 很多人參加了這次活動。")</f>
        <v>1. 會議非常成功。 2. 很多人參加了這次活動。</v>
      </c>
    </row>
    <row r="1154">
      <c r="A1154" s="5" t="s">
        <v>3460</v>
      </c>
      <c r="B1154" s="6" t="s">
        <v>3461</v>
      </c>
      <c r="C1154" s="5" t="s">
        <v>17</v>
      </c>
      <c r="D1154" s="5" t="s">
        <v>3462</v>
      </c>
      <c r="E1154" s="3" t="str">
        <f>IFERROR(__xludf.DUMMYFUNCTION("GOOGLETRANSLATE(D1154, ""en"", ""zh-tw"")"),"1. 我拉上了外套拉鍊。 2. 請先將檔案壓縮後再發送。")</f>
        <v>1. 我拉上了外套拉鍊。 2. 請先將檔案壓縮後再發送。</v>
      </c>
    </row>
    <row r="1155">
      <c r="A1155" s="5" t="s">
        <v>3463</v>
      </c>
      <c r="B1155" s="6" t="s">
        <v>3464</v>
      </c>
      <c r="C1155" s="5" t="s">
        <v>17</v>
      </c>
      <c r="D1155" s="5" t="s">
        <v>3465</v>
      </c>
      <c r="E1155" s="3" t="str">
        <f>IFERROR(__xludf.DUMMYFUNCTION("GOOGLETRANSLATE(D1155, ""en"", ""zh-tw"")"),"1. 她看起來很年輕。 2. 他年輕的活力給團隊留下了深刻的印象。")</f>
        <v>1. 她看起來很年輕。 2. 他年輕的活力給團隊留下了深刻的印象。</v>
      </c>
    </row>
    <row r="1156">
      <c r="A1156" s="5" t="s">
        <v>3466</v>
      </c>
      <c r="B1156" s="6" t="s">
        <v>3467</v>
      </c>
      <c r="C1156" s="5" t="s">
        <v>7</v>
      </c>
      <c r="D1156" s="5" t="s">
        <v>3468</v>
      </c>
      <c r="E1156" s="3" t="str">
        <f>IFERROR(__xludf.DUMMYFUNCTION("GOOGLETRANSLATE(D1156, ""en"", ""zh-tw"")"),"1. 她獲得了最佳女主角獎的提名。 2. 被提名者必須出席頒獎典禮。")</f>
        <v>1. 她獲得了最佳女主角獎的提名。 2. 被提名者必須出席頒獎典禮。</v>
      </c>
    </row>
    <row r="1157">
      <c r="A1157" s="5" t="s">
        <v>3469</v>
      </c>
      <c r="B1157" s="6" t="s">
        <v>3470</v>
      </c>
      <c r="C1157" s="5" t="s">
        <v>279</v>
      </c>
      <c r="D1157" s="5" t="s">
        <v>3471</v>
      </c>
      <c r="E1157" s="3" t="str">
        <f>IFERROR(__xludf.DUMMYFUNCTION("GOOGLETRANSLATE(D1157, ""en"", ""zh-tw"")"),"1. 他宣布競選市長。 2. 她的競選得到了許多成員的支持。")</f>
        <v>1. 他宣布競選市長。 2. 她的競選得到了許多成員的支持。</v>
      </c>
    </row>
    <row r="1158">
      <c r="A1158" s="5" t="s">
        <v>3472</v>
      </c>
      <c r="B1158" s="6" t="s">
        <v>3473</v>
      </c>
      <c r="C1158" s="5" t="s">
        <v>17</v>
      </c>
      <c r="D1158" s="5" t="s">
        <v>3474</v>
      </c>
      <c r="E1158" s="3" t="str">
        <f>IFERROR(__xludf.DUMMYFUNCTION("GOOGLETRANSLATE(D1158, ""en"", ""zh-tw"")"),"他為這個項目投入了大量精力。")</f>
        <v>他為這個項目投入了大量精力。</v>
      </c>
    </row>
    <row r="1159">
      <c r="A1159" s="5" t="s">
        <v>3475</v>
      </c>
      <c r="B1159" s="6" t="s">
        <v>3476</v>
      </c>
      <c r="C1159" s="5" t="s">
        <v>279</v>
      </c>
      <c r="D1159" s="5" t="s">
        <v>3477</v>
      </c>
      <c r="E1159" s="3" t="str">
        <f>IFERROR(__xludf.DUMMYFUNCTION("GOOGLETRANSLATE(D1159, ""en"", ""zh-tw"")"),"1. 他們盡一切努力按時完成任務。 2. 我們將努力改進我們的服務。")</f>
        <v>1. 他們盡一切努力按時完成任務。 2. 我們將努力改進我們的服務。</v>
      </c>
    </row>
    <row r="1160">
      <c r="A1160" s="5" t="s">
        <v>3478</v>
      </c>
      <c r="B1160" s="6" t="s">
        <v>3479</v>
      </c>
      <c r="C1160" s="5" t="s">
        <v>279</v>
      </c>
      <c r="D1160" s="5" t="s">
        <v>3480</v>
      </c>
      <c r="E1160" s="3" t="str">
        <f>IFERROR(__xludf.DUMMYFUNCTION("GOOGLETRANSLATE(D1160, ""en"", ""zh-tw"")"),"1. 博物館展出的是這份古代手稿的複製品。 2. 請寄送一份已簽署文件的複製件。")</f>
        <v>1. 博物館展出的是這份古代手稿的複製品。 2. 請寄送一份已簽署文件的複製件。</v>
      </c>
    </row>
    <row r="1161">
      <c r="A1161" s="5" t="s">
        <v>3481</v>
      </c>
      <c r="B1161" s="6" t="s">
        <v>3482</v>
      </c>
      <c r="C1161" s="5" t="s">
        <v>17</v>
      </c>
      <c r="D1161" s="5" t="s">
        <v>3483</v>
      </c>
      <c r="E1161" s="3" t="str">
        <f>IFERROR(__xludf.DUMMYFUNCTION("GOOGLETRANSLATE(D1161, ""en"", ""zh-tw"")"),"1. 她把合約傳真到辦公室了。 2. 請把文件傳真給我。")</f>
        <v>1. 她把合約傳真到辦公室了。 2. 請把文件傳真給我。</v>
      </c>
    </row>
    <row r="1162">
      <c r="A1162" s="5" t="s">
        <v>3484</v>
      </c>
      <c r="B1162" s="6" t="s">
        <v>3485</v>
      </c>
      <c r="C1162" s="5" t="s">
        <v>7</v>
      </c>
      <c r="D1162" s="5" t="s">
        <v>3486</v>
      </c>
      <c r="E1162" s="3" t="str">
        <f>IFERROR(__xludf.DUMMYFUNCTION("GOOGLETRANSLATE(D1162, ""en"", ""zh-tw"")"),"1. 我在店裡使用了折價券。 2. 請保留此折扣券以便報銷。")</f>
        <v>1. 我在店裡使用了折價券。 2. 請保留此折扣券以便報銷。</v>
      </c>
    </row>
    <row r="1163">
      <c r="A1163" s="5" t="s">
        <v>3487</v>
      </c>
      <c r="B1163" s="6" t="s">
        <v>3488</v>
      </c>
      <c r="C1163" s="5" t="s">
        <v>279</v>
      </c>
      <c r="D1163" s="5" t="s">
        <v>3489</v>
      </c>
      <c r="E1163" s="3" t="str">
        <f>IFERROR(__xludf.DUMMYFUNCTION("GOOGLETRANSLATE(D1163, ""en"", ""zh-tw"")"),"1. 他透過快遞寄出了包裹。 2. 首先，讓我介紹一下議程。")</f>
        <v>1. 他透過快遞寄出了包裹。 2. 首先，讓我介紹一下議程。</v>
      </c>
    </row>
    <row r="1164">
      <c r="A1164" s="5" t="s">
        <v>3490</v>
      </c>
      <c r="B1164" s="6" t="s">
        <v>3491</v>
      </c>
      <c r="C1164" s="5" t="s">
        <v>17</v>
      </c>
      <c r="D1164" s="5" t="s">
        <v>3492</v>
      </c>
      <c r="E1164" s="3" t="str">
        <f>IFERROR(__xludf.DUMMYFUNCTION("GOOGLETRANSLATE(D1164, ""en"", ""zh-tw"")"),"1. 該網站佈局非常人性化。 2. 他們明天將佈置辦公家具。")</f>
        <v>1. 該網站佈局非常人性化。 2. 他們明天將佈置辦公家具。</v>
      </c>
    </row>
    <row r="1165">
      <c r="A1165" s="5" t="s">
        <v>3493</v>
      </c>
      <c r="B1165" s="6" t="s">
        <v>3494</v>
      </c>
      <c r="C1165" s="5" t="s">
        <v>17</v>
      </c>
      <c r="D1165" s="5" t="s">
        <v>3495</v>
      </c>
      <c r="E1165" s="3" t="str">
        <f>IFERROR(__xludf.DUMMYFUNCTION("GOOGLETRANSLATE(D1165, ""en"", ""zh-tw"")"),"我們需要削減開支。")</f>
        <v>我們需要削減開支。</v>
      </c>
    </row>
    <row r="1166">
      <c r="A1166" s="5" t="s">
        <v>3496</v>
      </c>
      <c r="B1166" s="6" t="s">
        <v>3497</v>
      </c>
      <c r="C1166" s="5" t="s">
        <v>17</v>
      </c>
      <c r="D1166" s="5" t="s">
        <v>3498</v>
      </c>
      <c r="E1166" s="3" t="str">
        <f>IFERROR(__xludf.DUMMYFUNCTION("GOOGLETRANSLATE(D1166, ""en"", ""zh-tw"")"),"我從日本寄了一張明信片。")</f>
        <v>我從日本寄了一張明信片。</v>
      </c>
    </row>
    <row r="1167">
      <c r="A1167" s="5" t="s">
        <v>3499</v>
      </c>
      <c r="B1167" s="6" t="s">
        <v>3500</v>
      </c>
      <c r="C1167" s="5" t="s">
        <v>17</v>
      </c>
      <c r="D1167" s="5" t="s">
        <v>3501</v>
      </c>
      <c r="E1167" s="3" t="str">
        <f>IFERROR(__xludf.DUMMYFUNCTION("GOOGLETRANSLATE(D1167, ""en"", ""zh-tw"")"),"前台接待員熱情地接待了我們。")</f>
        <v>前台接待員熱情地接待了我們。</v>
      </c>
    </row>
    <row r="1168">
      <c r="A1168" s="5" t="s">
        <v>3502</v>
      </c>
      <c r="B1168" s="6" t="s">
        <v>3503</v>
      </c>
      <c r="C1168" s="5" t="s">
        <v>7</v>
      </c>
      <c r="D1168" s="5" t="s">
        <v>3504</v>
      </c>
      <c r="E1168" s="3" t="str">
        <f>IFERROR(__xludf.DUMMYFUNCTION("GOOGLETRANSLATE(D1168, ""en"", ""zh-tw"")"),"1. 公司決定重組部門。 2. 她重新安排了日程以提高效率。")</f>
        <v>1. 公司決定重組部門。 2. 她重新安排了日程以提高效率。</v>
      </c>
    </row>
    <row r="1169">
      <c r="A1169" s="5" t="s">
        <v>3505</v>
      </c>
      <c r="B1169" s="6" t="s">
        <v>3506</v>
      </c>
      <c r="C1169" s="5" t="s">
        <v>17</v>
      </c>
      <c r="D1169" s="5" t="s">
        <v>3507</v>
      </c>
      <c r="E1169" s="3" t="str">
        <f>IFERROR(__xludf.DUMMYFUNCTION("GOOGLETRANSLATE(D1169, ""en"", ""zh-tw"")"),"這種飲食方式只是一時的風潮。")</f>
        <v>這種飲食方式只是一時的風潮。</v>
      </c>
    </row>
    <row r="1170">
      <c r="A1170" s="5" t="s">
        <v>3508</v>
      </c>
      <c r="B1170" s="6" t="s">
        <v>3509</v>
      </c>
      <c r="C1170" s="5" t="s">
        <v>17</v>
      </c>
      <c r="D1170" s="5" t="s">
        <v>3510</v>
      </c>
      <c r="E1170" s="3" t="str">
        <f>IFERROR(__xludf.DUMMYFUNCTION("GOOGLETRANSLATE(D1170, ""en"", ""zh-tw"")"),"城市裡掀起了一股新的健身熱潮。")</f>
        <v>城市裡掀起了一股新的健身熱潮。</v>
      </c>
    </row>
    <row r="1171">
      <c r="A1171" s="5" t="s">
        <v>3511</v>
      </c>
      <c r="B1171" s="6" t="s">
        <v>3512</v>
      </c>
      <c r="C1171" s="5" t="s">
        <v>17</v>
      </c>
      <c r="D1171" s="5" t="s">
        <v>3513</v>
      </c>
      <c r="E1171" s="3" t="str">
        <f>IFERROR(__xludf.DUMMYFUNCTION("GOOGLETRANSLATE(D1171, ""en"", ""zh-tw"")"),"1. 解決問題是職場中的重要技能。 2. 她具備很強的解決問題的能力。")</f>
        <v>1. 解決問題是職場中的重要技能。 2. 她具備很強的解決問題的能力。</v>
      </c>
    </row>
    <row r="1172">
      <c r="A1172" s="5" t="s">
        <v>3514</v>
      </c>
      <c r="B1172" s="6" t="s">
        <v>3515</v>
      </c>
      <c r="C1172" s="5" t="s">
        <v>7</v>
      </c>
      <c r="D1172" s="5" t="s">
        <v>3516</v>
      </c>
      <c r="E1172" s="3" t="str">
        <f>IFERROR(__xludf.DUMMYFUNCTION("GOOGLETRANSLATE(D1172, ""en"", ""zh-tw"")"),"技術人員協助檢驗了系統故障。")</f>
        <v>技術人員協助檢驗了系統故障。</v>
      </c>
    </row>
    <row r="1173">
      <c r="A1173" s="5" t="s">
        <v>3517</v>
      </c>
      <c r="B1173" s="6" t="s">
        <v>3518</v>
      </c>
      <c r="C1173" s="5" t="s">
        <v>17</v>
      </c>
      <c r="D1173" s="5" t="s">
        <v>3519</v>
      </c>
      <c r="E1173" s="3" t="str">
        <f>IFERROR(__xludf.DUMMYFUNCTION("GOOGLETRANSLATE(D1173, ""en"", ""zh-tw"")"),"1. 我們需要更換舊設備。 2. 她接替他擔任團隊領導。")</f>
        <v>1. 我們需要更換舊設備。 2. 她接替他擔任團隊領導。</v>
      </c>
    </row>
    <row r="1174">
      <c r="A1174" s="5" t="s">
        <v>3520</v>
      </c>
      <c r="B1174" s="6" t="s">
        <v>3521</v>
      </c>
      <c r="C1174" s="5" t="s">
        <v>7</v>
      </c>
      <c r="D1174" s="5" t="s">
        <v>3522</v>
      </c>
      <c r="E1174" s="3" t="str">
        <f>IFERROR(__xludf.DUMMYFUNCTION("GOOGLETRANSLATE(D1174, ""en"", ""zh-tw"")"),"1. 系統在崩潰後已恢復。 2. 他們將舊建築恢復到了原貌。")</f>
        <v>1. 系統在崩潰後已恢復。 2. 他們將舊建築恢復到了原貌。</v>
      </c>
    </row>
    <row r="1175">
      <c r="A1175" s="5" t="s">
        <v>3523</v>
      </c>
      <c r="B1175" s="6" t="s">
        <v>3524</v>
      </c>
      <c r="C1175" s="5" t="s">
        <v>279</v>
      </c>
      <c r="D1175" s="5" t="s">
        <v>3525</v>
      </c>
      <c r="E1175" s="3" t="str">
        <f>IFERROR(__xludf.DUMMYFUNCTION("GOOGLETRANSLATE(D1175, ""en"", ""zh-tw"")"),"這家酒店去年進行了翻新。")</f>
        <v>這家酒店去年進行了翻新。</v>
      </c>
    </row>
    <row r="1176">
      <c r="A1176" s="5" t="s">
        <v>3526</v>
      </c>
      <c r="B1176" s="6" t="s">
        <v>3527</v>
      </c>
      <c r="C1176" s="5" t="s">
        <v>7</v>
      </c>
      <c r="D1176" s="5" t="s">
        <v>3528</v>
      </c>
      <c r="E1176" s="3" t="str">
        <f>IFERROR(__xludf.DUMMYFUNCTION("GOOGLETRANSLATE(D1176, ""en"", ""zh-tw"")"),"該建築因翻修而關閉。")</f>
        <v>該建築因翻修而關閉。</v>
      </c>
    </row>
    <row r="1177">
      <c r="A1177" s="5" t="s">
        <v>3529</v>
      </c>
      <c r="B1177" s="6" t="s">
        <v>3530</v>
      </c>
      <c r="C1177" s="5" t="s">
        <v>17</v>
      </c>
      <c r="D1177" s="5" t="s">
        <v>3531</v>
      </c>
      <c r="E1177" s="3" t="str">
        <f>IFERROR(__xludf.DUMMYFUNCTION("GOOGLETRANSLATE(D1177, ""en"", ""zh-tw"")"),"1. 我們去市中心購物。 2. 這家飯店位於市中心。")</f>
        <v>1. 我們去市中心購物。 2. 這家飯店位於市中心。</v>
      </c>
    </row>
    <row r="1178">
      <c r="A1178" s="5" t="s">
        <v>3532</v>
      </c>
      <c r="B1178" s="6" t="s">
        <v>3533</v>
      </c>
      <c r="C1178" s="5" t="s">
        <v>7</v>
      </c>
      <c r="D1178" s="5" t="s">
        <v>3534</v>
      </c>
      <c r="E1178" s="3" t="str">
        <f>IFERROR(__xludf.DUMMYFUNCTION("GOOGLETRANSLATE(D1178, ""en"", ""zh-tw"")"),"1. 她從每筆銷售中都能獲得佣金。 2. 公司委託撰寫了一份新的報告。")</f>
        <v>1. 她從每筆銷售中都能獲得佣金。 2. 公司委託撰寫了一份新的報告。</v>
      </c>
    </row>
    <row r="1179">
      <c r="A1179" s="5" t="s">
        <v>3535</v>
      </c>
      <c r="B1179" s="6" t="s">
        <v>3536</v>
      </c>
      <c r="C1179" s="5" t="s">
        <v>17</v>
      </c>
      <c r="D1179" s="5" t="s">
        <v>3537</v>
      </c>
      <c r="E1179" s="3" t="str">
        <f>IFERROR(__xludf.DUMMYFUNCTION("GOOGLETRANSLATE(D1179, ""en"", ""zh-tw"")"),"機場安檢非常嚴格。")</f>
        <v>機場安檢非常嚴格。</v>
      </c>
    </row>
    <row r="1180">
      <c r="A1180" s="5" t="s">
        <v>3538</v>
      </c>
      <c r="B1180" s="6" t="s">
        <v>3539</v>
      </c>
      <c r="C1180" s="5" t="s">
        <v>17</v>
      </c>
      <c r="D1180" s="5" t="s">
        <v>3540</v>
      </c>
      <c r="E1180" s="3" t="str">
        <f>IFERROR(__xludf.DUMMYFUNCTION("GOOGLETRANSLATE(D1180, ""en"", ""zh-tw"")"),"1. 我們需要妥善整理文件。 2. 他們組織了一場慈善活動。")</f>
        <v>1. 我們需要妥善整理文件。 2. 他們組織了一場慈善活動。</v>
      </c>
    </row>
    <row r="1181">
      <c r="A1181" s="5" t="s">
        <v>3541</v>
      </c>
      <c r="B1181" s="6" t="s">
        <v>3542</v>
      </c>
      <c r="C1181" s="5" t="s">
        <v>279</v>
      </c>
      <c r="D1181" s="5" t="s">
        <v>3543</v>
      </c>
      <c r="E1181" s="3" t="str">
        <f>IFERROR(__xludf.DUMMYFUNCTION("GOOGLETRANSLATE(D1181, ""en"", ""zh-tw"")"),"1. 強風吹亂了桌上的文件。 2. 這次延誤徹底打亂了他的行程。")</f>
        <v>1. 強風吹亂了桌上的文件。 2. 這次延誤徹底打亂了他的行程。</v>
      </c>
    </row>
    <row r="1182">
      <c r="A1182" s="5" t="s">
        <v>3544</v>
      </c>
      <c r="B1182" s="6" t="s">
        <v>3545</v>
      </c>
      <c r="C1182" s="5" t="s">
        <v>7</v>
      </c>
      <c r="D1182" s="5" t="s">
        <v>3546</v>
      </c>
      <c r="E1182" s="3" t="str">
        <f>IFERROR(__xludf.DUMMYFUNCTION("GOOGLETRANSLATE(D1182, ""en"", ""zh-tw"")"),"辦公室使用對講系統進行通訊。")</f>
        <v>辦公室使用對講系統進行通訊。</v>
      </c>
    </row>
    <row r="1183">
      <c r="A1183" s="5" t="s">
        <v>3547</v>
      </c>
      <c r="B1183" s="6" t="s">
        <v>3548</v>
      </c>
      <c r="C1183" s="5" t="s">
        <v>17</v>
      </c>
      <c r="D1183" s="5" t="s">
        <v>3549</v>
      </c>
      <c r="E1183" s="3" t="str">
        <f>IFERROR(__xludf.DUMMYFUNCTION("GOOGLETRANSLATE(D1183, ""en"", ""zh-tw"")"),"請仔細閱讀員工手冊。")</f>
        <v>請仔細閱讀員工手冊。</v>
      </c>
    </row>
    <row r="1184">
      <c r="A1184" s="5" t="s">
        <v>3550</v>
      </c>
      <c r="B1184" s="6" t="s">
        <v>3551</v>
      </c>
      <c r="C1184" s="5" t="s">
        <v>17</v>
      </c>
      <c r="D1184" s="5" t="s">
        <v>3552</v>
      </c>
      <c r="E1184" s="3" t="str">
        <f>IFERROR(__xludf.DUMMYFUNCTION("GOOGLETRANSLATE(D1184, ""en"", ""zh-tw"")"),"1. 店員幫我找到了合適的商品。 2. 她在銀行當店員。")</f>
        <v>1. 店員幫我找到了合適的商品。 2. 她在銀行當店員。</v>
      </c>
    </row>
    <row r="1185">
      <c r="A1185" s="5" t="s">
        <v>3553</v>
      </c>
      <c r="B1185" s="6" t="s">
        <v>3554</v>
      </c>
      <c r="C1185" s="5" t="s">
        <v>7</v>
      </c>
      <c r="D1185" s="5" t="s">
        <v>3555</v>
      </c>
      <c r="E1185" s="3" t="str">
        <f>IFERROR(__xludf.DUMMYFUNCTION("GOOGLETRANSLATE(D1185, ""en"", ""zh-tw"")"),"1. 這家餐廳深受常客歡迎。 2. 這家博物館由富有的贊助人支持。")</f>
        <v>1. 這家餐廳深受常客歡迎。 2. 這家博物館由富有的贊助人支持。</v>
      </c>
    </row>
    <row r="1186">
      <c r="A1186" s="5" t="s">
        <v>3556</v>
      </c>
      <c r="B1186" s="6" t="s">
        <v>3557</v>
      </c>
      <c r="C1186" s="5" t="s">
        <v>7</v>
      </c>
      <c r="D1186" s="5" t="s">
        <v>3558</v>
      </c>
      <c r="E1186" s="3" t="str">
        <f>IFERROR(__xludf.DUMMYFUNCTION("GOOGLETRANSLATE(D1186, ""en"", ""zh-tw"")"),"1. 我們在露臺上喝了咖啡。 2. 這棟房子有一個小花園露台。")</f>
        <v>1. 我們在露臺上喝了咖啡。 2. 這棟房子有一個小花園露台。</v>
      </c>
    </row>
    <row r="1187">
      <c r="A1187" s="5" t="s">
        <v>3559</v>
      </c>
      <c r="B1187" s="6" t="s">
        <v>3560</v>
      </c>
      <c r="C1187" s="5" t="s">
        <v>17</v>
      </c>
      <c r="D1187" s="5" t="s">
        <v>3561</v>
      </c>
      <c r="E1187" s="3" t="str">
        <f>IFERROR(__xludf.DUMMYFUNCTION("GOOGLETRANSLATE(D1187, ""en"", ""zh-tw"")"),"1. 這家旅館有一個漂亮的庭院。 2. 午餐時間，學生們聚集在庭院。")</f>
        <v>1. 這家旅館有一個漂亮的庭院。 2. 午餐時間，學生們聚集在庭院。</v>
      </c>
    </row>
    <row r="1188">
      <c r="A1188" s="5" t="s">
        <v>3562</v>
      </c>
      <c r="B1188" s="6" t="s">
        <v>3563</v>
      </c>
      <c r="C1188" s="5" t="s">
        <v>7</v>
      </c>
      <c r="D1188" s="5" t="s">
        <v>3564</v>
      </c>
      <c r="E1188" s="3" t="str">
        <f>IFERROR(__xludf.DUMMYFUNCTION("GOOGLETRANSLATE(D1188, ""en"", ""zh-tw"")"),"1. 我們預計明年需求會增加。 2. 她預料到他的反應，並且做好了相應的準備。")</f>
        <v>1. 我們預計明年需求會增加。 2. 她預料到他的反應，並且做好了相應的準備。</v>
      </c>
    </row>
    <row r="1189">
      <c r="A1189" s="5" t="s">
        <v>3565</v>
      </c>
      <c r="B1189" s="6" t="s">
        <v>3566</v>
      </c>
      <c r="C1189" s="5" t="s">
        <v>7</v>
      </c>
      <c r="D1189" s="5" t="s">
        <v>3567</v>
      </c>
      <c r="E1189" s="3" t="str">
        <f>IFERROR(__xludf.DUMMYFUNCTION("GOOGLETRANSLATE(D1189, ""en"", ""zh-tw"")"),"我們期待您的回覆。")</f>
        <v>我們期待您的回覆。</v>
      </c>
    </row>
    <row r="1190">
      <c r="A1190" s="5" t="s">
        <v>3568</v>
      </c>
      <c r="B1190" s="6" t="s">
        <v>3569</v>
      </c>
      <c r="C1190" s="5" t="s">
        <v>7</v>
      </c>
      <c r="D1190" s="5" t="s">
        <v>3570</v>
      </c>
      <c r="E1190" s="3" t="str">
        <f>IFERROR(__xludf.DUMMYFUNCTION("GOOGLETRANSLATE(D1190, ""en"", ""zh-tw"")"),"1. 她害怕期末考。 2. 他害怕面對面試。")</f>
        <v>1. 她害怕期末考。 2. 他害怕面對面試。</v>
      </c>
    </row>
    <row r="1191">
      <c r="A1191" s="5" t="s">
        <v>3571</v>
      </c>
      <c r="B1191" s="6" t="s">
        <v>3572</v>
      </c>
      <c r="C1191" s="5" t="s">
        <v>7</v>
      </c>
      <c r="D1191" s="5" t="s">
        <v>3573</v>
      </c>
      <c r="E1191" s="3" t="str">
        <f>IFERROR(__xludf.DUMMYFUNCTION("GOOGLETRANSLATE(D1191, ""en"", ""zh-tw"")"),"1. 有效的授權可以提高生產力。 2. 日本代表團訪問了該公司。")</f>
        <v>1. 有效的授權可以提高生產力。 2. 日本代表團訪問了該公司。</v>
      </c>
    </row>
    <row r="1192">
      <c r="A1192" s="5" t="s">
        <v>3574</v>
      </c>
      <c r="B1192" s="6" t="s">
        <v>3575</v>
      </c>
      <c r="C1192" s="5" t="s">
        <v>17</v>
      </c>
      <c r="D1192" s="5" t="s">
        <v>3576</v>
      </c>
      <c r="E1192" s="3" t="str">
        <f>IFERROR(__xludf.DUMMYFUNCTION("GOOGLETRANSLATE(D1192, ""en"", ""zh-tw"")"),"委員會將審查該提案。")</f>
        <v>委員會將審查該提案。</v>
      </c>
    </row>
    <row r="1193">
      <c r="A1193" s="5" t="s">
        <v>3577</v>
      </c>
      <c r="B1193" s="6" t="s">
        <v>3578</v>
      </c>
      <c r="C1193" s="5" t="s">
        <v>17</v>
      </c>
      <c r="D1193" s="5" t="s">
        <v>3579</v>
      </c>
      <c r="E1193" s="3" t="str">
        <f>IFERROR(__xludf.DUMMYFUNCTION("GOOGLETRANSLATE(D1193, ""en"", ""zh-tw"")"),"1. 我們在機場需要辦理海關手續。 2. 不同國家的海關規定不同。")</f>
        <v>1. 我們在機場需要辦理海關手續。 2. 不同國家的海關規定不同。</v>
      </c>
    </row>
    <row r="1194">
      <c r="A1194" s="5" t="s">
        <v>3580</v>
      </c>
      <c r="B1194" s="6" t="s">
        <v>3581</v>
      </c>
      <c r="C1194" s="5" t="s">
        <v>279</v>
      </c>
      <c r="D1194" s="5" t="s">
        <v>3582</v>
      </c>
      <c r="E1194" s="3" t="str">
        <f>IFERROR(__xludf.DUMMYFUNCTION("GOOGLETRANSLATE(D1194, ""en"", ""zh-tw"")"),"1. 該公司提倡職場公平。 2. 他持有這家新創公司的股份。")</f>
        <v>1. 該公司提倡職場公平。 2. 他持有這家新創公司的股份。</v>
      </c>
    </row>
    <row r="1195">
      <c r="A1195" s="5" t="s">
        <v>3583</v>
      </c>
      <c r="B1195" s="6" t="s">
        <v>3584</v>
      </c>
      <c r="C1195" s="5" t="s">
        <v>17</v>
      </c>
      <c r="D1195" s="5" t="s">
        <v>3585</v>
      </c>
      <c r="E1195" s="3" t="str">
        <f>IFERROR(__xludf.DUMMYFUNCTION("GOOGLETRANSLATE(D1195, ""en"", ""zh-tw"")"),"1. 該制度確保所有員工都受到公平對待。 2. 她質疑這項決定的公平性。")</f>
        <v>1. 該制度確保所有員工都受到公平對待。 2. 她質疑這項決定的公平性。</v>
      </c>
    </row>
    <row r="1196">
      <c r="A1196" s="5" t="s">
        <v>3586</v>
      </c>
      <c r="B1196" s="6" t="s">
        <v>3587</v>
      </c>
      <c r="C1196" s="5" t="s">
        <v>17</v>
      </c>
      <c r="D1196" s="5" t="s">
        <v>3588</v>
      </c>
      <c r="E1196" s="3" t="str">
        <f>IFERROR(__xludf.DUMMYFUNCTION("GOOGLETRANSLATE(D1196, ""en"", ""zh-tw"")"),"我們買了一些零食帶去旅行。")</f>
        <v>我們買了一些零食帶去旅行。</v>
      </c>
    </row>
    <row r="1197">
      <c r="A1197" s="5" t="s">
        <v>3589</v>
      </c>
      <c r="B1197" s="6" t="s">
        <v>3590</v>
      </c>
      <c r="C1197" s="5" t="s">
        <v>279</v>
      </c>
      <c r="D1197" s="5" t="s">
        <v>3591</v>
      </c>
      <c r="E1197" s="3" t="str">
        <f>IFERROR(__xludf.DUMMYFUNCTION("GOOGLETRANSLATE(D1197, ""en"", ""zh-tw"")"),"參加培訓課程是強制性的。")</f>
        <v>參加培訓課程是強制性的。</v>
      </c>
    </row>
    <row r="1198">
      <c r="A1198" s="5" t="s">
        <v>3592</v>
      </c>
      <c r="B1198" s="6" t="s">
        <v>3593</v>
      </c>
      <c r="C1198" s="5" t="s">
        <v>7</v>
      </c>
      <c r="D1198" s="5" t="s">
        <v>3594</v>
      </c>
      <c r="E1198" s="3" t="str">
        <f>IFERROR(__xludf.DUMMYFUNCTION("GOOGLETRANSLATE(D1198, ""en"", ""zh-tw"")"),"1. 騎摩托車必須戴安全帽。 2. 英語是許多學校的必修科目。")</f>
        <v>1. 騎摩托車必須戴安全帽。 2. 英語是許多學校的必修科目。</v>
      </c>
    </row>
    <row r="1199">
      <c r="A1199" s="5" t="s">
        <v>3595</v>
      </c>
      <c r="B1199" s="6" t="s">
        <v>3596</v>
      </c>
      <c r="C1199" s="5" t="s">
        <v>279</v>
      </c>
      <c r="D1199" s="5" t="s">
        <v>3597</v>
      </c>
      <c r="E1199" s="3" t="str">
        <f>IFERROR(__xludf.DUMMYFUNCTION("GOOGLETRANSLATE(D1199, ""en"", ""zh-tw"")"),"該公司目前捲入訴訟。")</f>
        <v>該公司目前捲入訴訟。</v>
      </c>
    </row>
    <row r="1200">
      <c r="A1200" s="5" t="s">
        <v>3598</v>
      </c>
      <c r="B1200" s="6" t="s">
        <v>3599</v>
      </c>
      <c r="C1200" s="5" t="s">
        <v>7</v>
      </c>
      <c r="D1200" s="5" t="s">
        <v>3600</v>
      </c>
      <c r="E1200" s="3" t="str">
        <f>IFERROR(__xludf.DUMMYFUNCTION("GOOGLETRANSLATE(D1200, ""en"", ""zh-tw"")"),"該公司對競爭對手提起了訴訟。")</f>
        <v>該公司對競爭對手提起了訴訟。</v>
      </c>
    </row>
    <row r="1201">
      <c r="A1201" s="5" t="s">
        <v>3601</v>
      </c>
      <c r="B1201" s="6" t="s">
        <v>3602</v>
      </c>
      <c r="C1201" s="5" t="s">
        <v>17</v>
      </c>
      <c r="D1201" s="5" t="s">
        <v>3603</v>
      </c>
      <c r="E1201" s="3" t="str">
        <f>IFERROR(__xludf.DUMMYFUNCTION("GOOGLETRANSLATE(D1201, ""en"", ""zh-tw"")"),"該零售商提供電子產品折扣。")</f>
        <v>該零售商提供電子產品折扣。</v>
      </c>
    </row>
    <row r="1202">
      <c r="A1202" s="5" t="s">
        <v>3604</v>
      </c>
      <c r="B1202" s="6" t="s">
        <v>3605</v>
      </c>
      <c r="C1202" s="5" t="s">
        <v>17</v>
      </c>
      <c r="D1202" s="5" t="s">
        <v>3606</v>
      </c>
      <c r="E1202" s="3" t="str">
        <f>IFERROR(__xludf.DUMMYFUNCTION("GOOGLETRANSLATE(D1202, ""en"", ""zh-tw"")"),"1. 這座城市的主要景點是那座古老的城堡。 2. 她對這個新想法產生了強烈的興趣。")</f>
        <v>1. 這座城市的主要景點是那座古老的城堡。 2. 她對這個新想法產生了強烈的興趣。</v>
      </c>
    </row>
    <row r="1203">
      <c r="A1203" s="5" t="s">
        <v>3607</v>
      </c>
      <c r="B1203" s="6" t="s">
        <v>3608</v>
      </c>
      <c r="C1203" s="5" t="s">
        <v>7</v>
      </c>
      <c r="D1203" s="5" t="s">
        <v>3609</v>
      </c>
      <c r="E1203" s="3" t="str">
        <f>IFERROR(__xludf.DUMMYFUNCTION("GOOGLETRANSLATE(D1203, ""en"", ""zh-tw"")"),"1. 新設計具有很強的視覺吸引力。 2. 該公司對法院的判決提出上訴。")</f>
        <v>1. 新設計具有很強的視覺吸引力。 2. 該公司對法院的判決提出上訴。</v>
      </c>
    </row>
    <row r="1204">
      <c r="A1204" s="5" t="s">
        <v>3610</v>
      </c>
      <c r="B1204" s="6" t="s">
        <v>3611</v>
      </c>
      <c r="C1204" s="5" t="s">
        <v>17</v>
      </c>
      <c r="D1204" s="5" t="s">
        <v>3612</v>
      </c>
      <c r="E1204" s="3" t="str">
        <f>IFERROR(__xludf.DUMMYFUNCTION("GOOGLETRANSLATE(D1204, ""en"", ""zh-tw"")"),"1. 我們需要立即處理這個問題。 2. 她每天都要處理客戶投訴。")</f>
        <v>1. 我們需要立即處理這個問題。 2. 她每天都要處理客戶投訴。</v>
      </c>
    </row>
    <row r="1205">
      <c r="A1205" s="5" t="s">
        <v>3613</v>
      </c>
      <c r="B1205" s="6" t="s">
        <v>3614</v>
      </c>
      <c r="C1205" s="5" t="s">
        <v>7</v>
      </c>
      <c r="D1205" s="5" t="s">
        <v>3615</v>
      </c>
      <c r="E1205" s="3" t="str">
        <f>IFERROR(__xludf.DUMMYFUNCTION("GOOGLETRANSLATE(D1205, ""en"", ""zh-tw"")"),"1. 我們需要立即解決這個問題。 2. 團隊正在努力應對氣候變遷。")</f>
        <v>1. 我們需要立即解決這個問題。 2. 團隊正在努力應對氣候變遷。</v>
      </c>
    </row>
    <row r="1206">
      <c r="A1206" s="5" t="s">
        <v>3616</v>
      </c>
      <c r="B1206" s="6" t="s">
        <v>3617</v>
      </c>
      <c r="C1206" s="5" t="s">
        <v>17</v>
      </c>
      <c r="D1206" s="5" t="s">
        <v>3618</v>
      </c>
      <c r="E1206" s="3" t="str">
        <f>IFERROR(__xludf.DUMMYFUNCTION("GOOGLETRANSLATE(D1206, ""en"", ""zh-tw"")"),"你不應該忽視安全警告。")</f>
        <v>你不應該忽視安全警告。</v>
      </c>
    </row>
    <row r="1207">
      <c r="A1207" s="5" t="s">
        <v>3619</v>
      </c>
      <c r="B1207" s="6" t="s">
        <v>3620</v>
      </c>
      <c r="C1207" s="5" t="s">
        <v>7</v>
      </c>
      <c r="D1207" s="5" t="s">
        <v>3621</v>
      </c>
      <c r="E1207" s="3" t="str">
        <f>IFERROR(__xludf.DUMMYFUNCTION("GOOGLETRANSLATE(D1207, ""en"", ""zh-tw"")"),"1. 博物館將展出古代文物。 2. 這次展覽吸引了許多參觀者。")</f>
        <v>1. 博物館將展出古代文物。 2. 這次展覽吸引了許多參觀者。</v>
      </c>
    </row>
    <row r="1208">
      <c r="A1208" s="5" t="s">
        <v>3622</v>
      </c>
      <c r="B1208" s="6" t="s">
        <v>3623</v>
      </c>
      <c r="C1208" s="5" t="s">
        <v>279</v>
      </c>
      <c r="D1208" s="5" t="s">
        <v>3624</v>
      </c>
      <c r="E1208" s="3" t="str">
        <f>IFERROR(__xludf.DUMMYFUNCTION("GOOGLETRANSLATE(D1208, ""en"", ""zh-tw"")"),"1. 他試圖向家人隱瞞真相。 2. 這份文件被藏在抽屜裡。")</f>
        <v>1. 他試圖向家人隱瞞真相。 2. 這份文件被藏在抽屜裡。</v>
      </c>
    </row>
    <row r="1209">
      <c r="A1209" s="5" t="s">
        <v>3625</v>
      </c>
      <c r="B1209" s="6" t="s">
        <v>3626</v>
      </c>
      <c r="C1209" s="5" t="s">
        <v>17</v>
      </c>
      <c r="D1209" s="5" t="s">
        <v>3627</v>
      </c>
      <c r="E1209" s="3" t="str">
        <f>IFERROR(__xludf.DUMMYFUNCTION("GOOGLETRANSLATE(D1209, ""en"", ""zh-tw"")"),"1. 我在網路上查看了招募資訊。 2. 網站有房屋出租資訊。")</f>
        <v>1. 我在網路上查看了招募資訊。 2. 網站有房屋出租資訊。</v>
      </c>
    </row>
    <row r="1210">
      <c r="A1210" s="5" t="s">
        <v>3628</v>
      </c>
      <c r="B1210" s="6" t="s">
        <v>3629</v>
      </c>
      <c r="C1210" s="5" t="s">
        <v>7</v>
      </c>
      <c r="D1210" s="5" t="s">
        <v>3630</v>
      </c>
      <c r="E1210" s="3" t="str">
        <f>IFERROR(__xludf.DUMMYFUNCTION("GOOGLETRANSLATE(D1210, ""en"", ""zh-tw"")"),"1. 市場被劃分為不同的細分市場。 2. 影片被分割成許多短片。")</f>
        <v>1. 市場被劃分為不同的細分市場。 2. 影片被分割成許多短片。</v>
      </c>
    </row>
    <row r="1211">
      <c r="A1211" s="5" t="s">
        <v>3631</v>
      </c>
      <c r="B1211" s="6" t="s">
        <v>3632</v>
      </c>
      <c r="C1211" s="5" t="s">
        <v>17</v>
      </c>
      <c r="D1211" s="5" t="s">
        <v>3633</v>
      </c>
      <c r="E1211" s="3" t="str">
        <f>IFERROR(__xludf.DUMMYFUNCTION("GOOGLETRANSLATE(D1211, ""en"", ""zh-tw"")"),"1. 請閱讀報告的第三部分。 2. 她在財務部門工作。")</f>
        <v>1. 請閱讀報告的第三部分。 2. 她在財務部門工作。</v>
      </c>
    </row>
    <row r="1212">
      <c r="A1212" s="5" t="s">
        <v>3634</v>
      </c>
      <c r="B1212" s="6" t="s">
        <v>3635</v>
      </c>
      <c r="C1212" s="5" t="s">
        <v>7</v>
      </c>
      <c r="D1212" s="5" t="s">
        <v>3636</v>
      </c>
      <c r="E1212" s="3" t="str">
        <f>IFERROR(__xludf.DUMMYFUNCTION("GOOGLETRANSLATE(D1212, ""en"", ""zh-tw"")"),"1. 市場區隔有助於企業更有效地鎖定目標客戶。 2. 資料細分可以提高分析的準確性。")</f>
        <v>1. 市場區隔有助於企業更有效地鎖定目標客戶。 2. 資料細分可以提高分析的準確性。</v>
      </c>
    </row>
    <row r="1213">
      <c r="A1213" s="5" t="s">
        <v>3637</v>
      </c>
      <c r="B1213" s="6" t="s">
        <v>3638</v>
      </c>
      <c r="C1213" s="5" t="s">
        <v>279</v>
      </c>
      <c r="D1213" s="5" t="s">
        <v>3639</v>
      </c>
      <c r="E1213" s="3" t="str">
        <f>IFERROR(__xludf.DUMMYFUNCTION("GOOGLETRANSLATE(D1213, ""en"", ""zh-tw"")"),"1. 該公司承擔了事故的全部責任。 2. 該公司資產負債表上的負債額龐大。")</f>
        <v>1. 該公司承擔了事故的全部責任。 2. 該公司資產負債表上的負債額龐大。</v>
      </c>
    </row>
    <row r="1214">
      <c r="A1214" s="5" t="s">
        <v>3640</v>
      </c>
      <c r="B1214" s="6" t="s">
        <v>3641</v>
      </c>
      <c r="C1214" s="5" t="s">
        <v>7</v>
      </c>
      <c r="D1214" s="5" t="s">
        <v>3642</v>
      </c>
      <c r="E1214" s="3" t="str">
        <f>IFERROR(__xludf.DUMMYFUNCTION("GOOGLETRANSLATE(D1214, ""en"", ""zh-tw"")"),"1. 公司的資產包括建築物和設備。 2. 她的語言能力對團隊來說是一筆寶貴的財富。")</f>
        <v>1. 公司的資產包括建築物和設備。 2. 她的語言能力對團隊來說是一筆寶貴的財富。</v>
      </c>
    </row>
    <row r="1215">
      <c r="A1215" s="5" t="s">
        <v>3643</v>
      </c>
      <c r="B1215" s="6" t="s">
        <v>3644</v>
      </c>
      <c r="C1215" s="5" t="s">
        <v>279</v>
      </c>
      <c r="D1215" s="5" t="s">
        <v>3645</v>
      </c>
      <c r="E1215" s="3" t="str">
        <f>IFERROR(__xludf.DUMMYFUNCTION("GOOGLETRANSLATE(D1215, ""en"", ""zh-tw"")"),"1. 公司對任何損失負責。 2. 暴雨期間，道路容易發生洪水。")</f>
        <v>1. 公司對任何損失負責。 2. 暴雨期間，道路容易發生洪水。</v>
      </c>
    </row>
    <row r="1216">
      <c r="A1216" s="5" t="s">
        <v>3646</v>
      </c>
      <c r="B1216" s="6" t="s">
        <v>3647</v>
      </c>
      <c r="C1216" s="5" t="s">
        <v>7</v>
      </c>
      <c r="D1216" s="5" t="s">
        <v>3648</v>
      </c>
      <c r="E1216" s="3" t="str">
        <f>IFERROR(__xludf.DUMMYFUNCTION("GOOGLETRANSLATE(D1216, ""en"", ""zh-tw"")"),"1. 目前樓內無人。 2. 所有人員必須立即撤離房間。")</f>
        <v>1. 目前樓內無人。 2. 所有人員必須立即撤離房間。</v>
      </c>
    </row>
    <row r="1217">
      <c r="A1217" s="5" t="s">
        <v>3649</v>
      </c>
      <c r="B1217" s="6" t="s">
        <v>3650</v>
      </c>
      <c r="C1217" s="5" t="s">
        <v>7</v>
      </c>
      <c r="D1217" s="5" t="s">
        <v>3651</v>
      </c>
      <c r="E1217" s="3" t="str">
        <f>IFERROR(__xludf.DUMMYFUNCTION("GOOGLETRANSLATE(D1217, ""en"", ""zh-tw"")"),"1. 市場部有一個職位空缺。 2. 這家飯店今晚沒有空房。")</f>
        <v>1. 市場部有一個職位空缺。 2. 這家飯店今晚沒有空房。</v>
      </c>
    </row>
    <row r="1218">
      <c r="A1218" s="5" t="s">
        <v>3652</v>
      </c>
      <c r="B1218" s="6" t="s">
        <v>3653</v>
      </c>
      <c r="C1218" s="5" t="s">
        <v>17</v>
      </c>
      <c r="D1218" s="5" t="s">
        <v>3654</v>
      </c>
      <c r="E1218" s="3" t="str">
        <f>IFERROR(__xludf.DUMMYFUNCTION("GOOGLETRANSLATE(D1218, ""en"", ""zh-tw"")"),"客戶忠誠度對企業成功至關重要。")</f>
        <v>客戶忠誠度對企業成功至關重要。</v>
      </c>
    </row>
    <row r="1219">
      <c r="A1219" s="5" t="s">
        <v>3655</v>
      </c>
      <c r="B1219" s="6" t="s">
        <v>3656</v>
      </c>
      <c r="C1219" s="5" t="s">
        <v>7</v>
      </c>
      <c r="D1219" s="5" t="s">
        <v>3657</v>
      </c>
      <c r="E1219" s="3" t="str">
        <f>IFERROR(__xludf.DUMMYFUNCTION("GOOGLETRANSLATE(D1219, ""en"", ""zh-tw"")"),"這隻狗以對主人忠誠而聞名。")</f>
        <v>這隻狗以對主人忠誠而聞名。</v>
      </c>
    </row>
    <row r="1220">
      <c r="A1220" s="5" t="s">
        <v>3658</v>
      </c>
      <c r="B1220" s="6" t="s">
        <v>3659</v>
      </c>
      <c r="C1220" s="5" t="s">
        <v>279</v>
      </c>
      <c r="D1220" s="5" t="s">
        <v>3660</v>
      </c>
      <c r="E1220" s="3" t="str">
        <f>IFERROR(__xludf.DUMMYFUNCTION("GOOGLETRANSLATE(D1220, ""en"", ""zh-tw"")"),"他宣誓效忠國家。")</f>
        <v>他宣誓效忠國家。</v>
      </c>
    </row>
    <row r="1221">
      <c r="A1221" s="5" t="s">
        <v>3661</v>
      </c>
      <c r="B1221" s="6" t="s">
        <v>3662</v>
      </c>
      <c r="C1221" s="5" t="s">
        <v>279</v>
      </c>
      <c r="D1221" s="5" t="s">
        <v>3663</v>
      </c>
      <c r="E1221" s="3" t="str">
        <f>IFERROR(__xludf.DUMMYFUNCTION("GOOGLETRANSLATE(D1221, ""en"", ""zh-tw"")"),"他被指控犯有叛國罪。")</f>
        <v>他被指控犯有叛國罪。</v>
      </c>
    </row>
    <row r="1222">
      <c r="A1222" s="5" t="s">
        <v>3664</v>
      </c>
      <c r="B1222" s="6" t="s">
        <v>3665</v>
      </c>
      <c r="C1222" s="5" t="s">
        <v>7</v>
      </c>
      <c r="D1222" s="5" t="s">
        <v>3666</v>
      </c>
      <c r="E1222" s="3" t="str">
        <f>IFERROR(__xludf.DUMMYFUNCTION("GOOGLETRANSLATE(D1222, ""en"", ""zh-tw"")"),"1. 該報告包含圖表。 2. 電影包含一些暴力或血腥的場景。")</f>
        <v>1. 該報告包含圖表。 2. 電影包含一些暴力或血腥的場景。</v>
      </c>
    </row>
    <row r="1223">
      <c r="A1223" s="5" t="s">
        <v>3667</v>
      </c>
      <c r="B1223" s="6" t="s">
        <v>3668</v>
      </c>
      <c r="C1223" s="5" t="s">
        <v>17</v>
      </c>
      <c r="D1223" s="5" t="s">
        <v>3669</v>
      </c>
      <c r="E1223" s="3" t="str">
        <f>IFERROR(__xludf.DUMMYFUNCTION("GOOGLETRANSLATE(D1223, ""en"", ""zh-tw"")"),"1. 此簡報包含豐富的視覺元素。 2. 學生借助視覺輔助工具學習效果更佳。")</f>
        <v>1. 此簡報包含豐富的視覺元素。 2. 學生借助視覺輔助工具學習效果更佳。</v>
      </c>
    </row>
    <row r="1224">
      <c r="A1224" s="5" t="s">
        <v>3670</v>
      </c>
      <c r="B1224" s="6" t="s">
        <v>3671</v>
      </c>
      <c r="C1224" s="5" t="s">
        <v>279</v>
      </c>
      <c r="D1224" s="5" t="s">
        <v>3672</v>
      </c>
      <c r="E1224" s="3" t="str">
        <f>IFERROR(__xludf.DUMMYFUNCTION("GOOGLETRANSLATE(D1224, ""en"", ""zh-tw"")"),"1. 本手冊以圖解形式解釋了此系統。 2. 該流程以圖解形式展示。")</f>
        <v>1. 本手冊以圖解形式解釋了此系統。 2. 該流程以圖解形式展示。</v>
      </c>
    </row>
    <row r="1225">
      <c r="A1225" s="5" t="s">
        <v>3673</v>
      </c>
      <c r="B1225" s="6" t="s">
        <v>3674</v>
      </c>
      <c r="C1225" s="5" t="s">
        <v>17</v>
      </c>
      <c r="D1225" s="5" t="s">
        <v>3675</v>
      </c>
      <c r="E1225" s="3" t="str">
        <f>IFERROR(__xludf.DUMMYFUNCTION("GOOGLETRANSLATE(D1225, ""en"", ""zh-tw"")"),"1. 出什麼事了？ 2. 我不在乎。")</f>
        <v>1. 出什麼事了？ 2. 我不在乎。</v>
      </c>
    </row>
    <row r="1226">
      <c r="A1226" s="5" t="s">
        <v>3676</v>
      </c>
      <c r="B1226" s="6" t="s">
        <v>3677</v>
      </c>
      <c r="C1226" s="5" t="s">
        <v>17</v>
      </c>
      <c r="D1226" s="5" t="s">
        <v>3678</v>
      </c>
      <c r="E1226" s="3" t="str">
        <f>IFERROR(__xludf.DUMMYFUNCTION("GOOGLETRANSLATE(D1226, ""en"", ""zh-tw"")"),"1. 你的體重是多少？ 2. 這個包裹重兩公斤。")</f>
        <v>1. 你的體重是多少？ 2. 這個包裹重兩公斤。</v>
      </c>
    </row>
    <row r="1227">
      <c r="A1227" s="5" t="s">
        <v>3679</v>
      </c>
      <c r="B1227" s="6" t="s">
        <v>3680</v>
      </c>
      <c r="C1227" s="5" t="s">
        <v>7</v>
      </c>
      <c r="D1227" s="5" t="s">
        <v>3681</v>
      </c>
      <c r="E1227" s="3" t="str">
        <f>IFERROR(__xludf.DUMMYFUNCTION("GOOGLETRANSLATE(D1227, ""en"", ""zh-tw"")"),"1. 我拿起箱子時，感覺它很重。 2. 消息傳來後，氣氛變得沉重。")</f>
        <v>1. 我拿起箱子時，感覺它很重。 2. 消息傳來後，氣氛變得沉重。</v>
      </c>
    </row>
    <row r="1228">
      <c r="A1228" s="5" t="s">
        <v>3682</v>
      </c>
      <c r="B1228" s="6" t="s">
        <v>3683</v>
      </c>
      <c r="C1228" s="5" t="s">
        <v>7</v>
      </c>
      <c r="D1228" s="5" t="s">
        <v>3684</v>
      </c>
      <c r="E1228" s="3" t="str">
        <f>IFERROR(__xludf.DUMMYFUNCTION("GOOGLETRANSLATE(D1228, ""en"", ""zh-tw"")"),"1. 該項目已經開始。 2. 施工現場正在進行建設工作。")</f>
        <v>1. 該項目已經開始。 2. 施工現場正在進行建設工作。</v>
      </c>
    </row>
    <row r="1229">
      <c r="A1229" s="5" t="s">
        <v>3685</v>
      </c>
      <c r="B1229" s="6" t="s">
        <v>3686</v>
      </c>
      <c r="C1229" s="5" t="s">
        <v>7</v>
      </c>
      <c r="D1229" s="5" t="s">
        <v>3687</v>
      </c>
      <c r="E1229" s="3" t="str">
        <f>IFERROR(__xludf.DUMMYFUNCTION("GOOGLETRANSLATE(D1229, ""en"", ""zh-tw"")"),"今晚餐廳人手不足。")</f>
        <v>今晚餐廳人手不足。</v>
      </c>
    </row>
    <row r="1230">
      <c r="A1230" s="5" t="s">
        <v>3688</v>
      </c>
      <c r="B1230" s="6" t="s">
        <v>3689</v>
      </c>
      <c r="C1230" s="5" t="s">
        <v>7</v>
      </c>
      <c r="D1230" s="5" t="s">
        <v>3690</v>
      </c>
      <c r="E1230" s="3" t="str">
        <f>IFERROR(__xludf.DUMMYFUNCTION("GOOGLETRANSLATE(D1230, ""en"", ""zh-tw"")"),"公司擴張後人員過剩。")</f>
        <v>公司擴張後人員過剩。</v>
      </c>
    </row>
    <row r="1231">
      <c r="A1231" s="5" t="s">
        <v>3691</v>
      </c>
      <c r="B1231" s="6" t="s">
        <v>3692</v>
      </c>
      <c r="C1231" s="5" t="s">
        <v>17</v>
      </c>
      <c r="D1231" s="5" t="s">
        <v>3693</v>
      </c>
      <c r="E1231" s="3" t="str">
        <f>IFERROR(__xludf.DUMMYFUNCTION("GOOGLETRANSLATE(D1231, ""en"", ""zh-tw"")"),"櫃員幫我取了錢。")</f>
        <v>櫃員幫我取了錢。</v>
      </c>
    </row>
    <row r="1232">
      <c r="A1232" s="5" t="s">
        <v>3694</v>
      </c>
      <c r="B1232" s="6" t="s">
        <v>3695</v>
      </c>
      <c r="C1232" s="5" t="s">
        <v>7</v>
      </c>
      <c r="D1232" s="5" t="s">
        <v>3696</v>
      </c>
      <c r="E1232" s="3" t="str">
        <f>IFERROR(__xludf.DUMMYFUNCTION("GOOGLETRANSLATE(D1232, ""en"", ""zh-tw"")"),"她是一名遠距辦公人員，在家工作。")</f>
        <v>她是一名遠距辦公人員，在家工作。</v>
      </c>
    </row>
    <row r="1233">
      <c r="A1233" s="5" t="s">
        <v>3697</v>
      </c>
      <c r="B1233" s="6" t="s">
        <v>3698</v>
      </c>
      <c r="C1233" s="5" t="s">
        <v>7</v>
      </c>
      <c r="D1233" s="5" t="s">
        <v>3699</v>
      </c>
      <c r="E1233" s="3" t="str">
        <f>IFERROR(__xludf.DUMMYFUNCTION("GOOGLETRANSLATE(D1233, ""en"", ""zh-tw"")"),"她一邊做家事一邊兼職。")</f>
        <v>她一邊做家事一邊兼職。</v>
      </c>
    </row>
    <row r="1234">
      <c r="A1234" s="5" t="s">
        <v>3700</v>
      </c>
      <c r="B1234" s="6" t="s">
        <v>3701</v>
      </c>
      <c r="C1234" s="5" t="s">
        <v>17</v>
      </c>
      <c r="D1234" s="5" t="s">
        <v>3702</v>
      </c>
      <c r="E1234" s="3" t="str">
        <f>IFERROR(__xludf.DUMMYFUNCTION("GOOGLETRANSLATE(D1234, ""en"", ""zh-tw"")"),"1. 請收拾房間。 2. 我們需要在客人到來之前收拾好房間。")</f>
        <v>1. 請收拾房間。 2. 我們需要在客人到來之前收拾好房間。</v>
      </c>
    </row>
    <row r="1235">
      <c r="A1235" s="5" t="s">
        <v>3703</v>
      </c>
      <c r="B1235" s="6" t="s">
        <v>3704</v>
      </c>
      <c r="C1235" s="5" t="s">
        <v>17</v>
      </c>
      <c r="D1235" s="5" t="s">
        <v>3705</v>
      </c>
      <c r="E1235" s="3" t="str">
        <f>IFERROR(__xludf.DUMMYFUNCTION("GOOGLETRANSLATE(D1235, ""en"", ""zh-tw"")"),"1. 你有責任報告這個問題。 2. 關稅必須在邊境繳納。")</f>
        <v>1. 你有責任報告這個問題。 2. 關稅必須在邊境繳納。</v>
      </c>
    </row>
    <row r="1236">
      <c r="A1236" s="5" t="s">
        <v>3706</v>
      </c>
      <c r="B1236" s="6" t="s">
        <v>3707</v>
      </c>
      <c r="C1236" s="5" t="s">
        <v>279</v>
      </c>
      <c r="D1236" s="5" t="s">
        <v>3708</v>
      </c>
      <c r="E1236" s="3" t="str">
        <f>IFERROR(__xludf.DUMMYFUNCTION("GOOGLETRANSLATE(D1236, ""en"", ""zh-tw"")"),"1. 政府對奢侈品課稅。 2. 對燃油徵收新稅。")</f>
        <v>1. 政府對奢侈品課稅。 2. 對燃油徵收新稅。</v>
      </c>
    </row>
    <row r="1237">
      <c r="A1237" s="5" t="s">
        <v>3709</v>
      </c>
      <c r="B1237" s="6" t="s">
        <v>3710</v>
      </c>
      <c r="C1237" s="5" t="s">
        <v>279</v>
      </c>
      <c r="D1237" s="5" t="s">
        <v>3711</v>
      </c>
      <c r="E1237" s="3" t="str">
        <f>IFERROR(__xludf.DUMMYFUNCTION("GOOGLETRANSLATE(D1237, ""en"", ""zh-tw"")"),"1. 他請求幫助。 2. 被告認罪。")</f>
        <v>1. 他請求幫助。 2. 被告認罪。</v>
      </c>
    </row>
    <row r="1238">
      <c r="A1238" s="5" t="s">
        <v>3712</v>
      </c>
      <c r="B1238" s="6" t="s">
        <v>3713</v>
      </c>
      <c r="C1238" s="5" t="s">
        <v>279</v>
      </c>
      <c r="D1238" s="5" t="s">
        <v>3714</v>
      </c>
      <c r="E1238" s="3" t="str">
        <f>IFERROR(__xludf.DUMMYFUNCTION("GOOGLETRANSLATE(D1238, ""en"", ""zh-tw"")"),"1. 他們簽署了一份反對新法的請願書。 2. 市民向政府請願，要求做出改變。")</f>
        <v>1. 他們簽署了一份反對新法的請願書。 2. 市民向政府請願，要求做出改變。</v>
      </c>
    </row>
    <row r="1239">
      <c r="A1239" s="5" t="s">
        <v>3715</v>
      </c>
      <c r="B1239" s="6" t="s">
        <v>3716</v>
      </c>
      <c r="C1239" s="5" t="s">
        <v>17</v>
      </c>
      <c r="D1239" s="5" t="s">
        <v>3717</v>
      </c>
      <c r="E1239" s="3" t="str">
        <f>IFERROR(__xludf.DUMMYFUNCTION("GOOGLETRANSLATE(D1239, ""en"", ""zh-tw"")"),"1. 這些房間由一條長長的走廊連接。 2. 她在辦公室外的走廊等著。")</f>
        <v>1. 這些房間由一條長長的走廊連接。 2. 她在辦公室外的走廊等著。</v>
      </c>
    </row>
    <row r="1240">
      <c r="A1240" s="5" t="s">
        <v>3718</v>
      </c>
      <c r="B1240" s="6" t="s">
        <v>3719</v>
      </c>
      <c r="C1240" s="5" t="s">
        <v>17</v>
      </c>
      <c r="D1240" s="5" t="s">
        <v>3720</v>
      </c>
      <c r="E1240" s="3" t="str">
        <f>IFERROR(__xludf.DUMMYFUNCTION("GOOGLETRANSLATE(D1240, ""en"", ""zh-tw"")"),"1. 辦公室沿走廊分佈。 2. 請保持走廊暢通。")</f>
        <v>1. 辦公室沿走廊分佈。 2. 請保持走廊暢通。</v>
      </c>
    </row>
    <row r="1241">
      <c r="A1241" s="5" t="s">
        <v>3721</v>
      </c>
      <c r="B1241" s="6" t="s">
        <v>3722</v>
      </c>
      <c r="C1241" s="5" t="s">
        <v>7</v>
      </c>
      <c r="D1241" s="5" t="s">
        <v>3723</v>
      </c>
      <c r="E1241" s="3" t="str">
        <f>IFERROR(__xludf.DUMMYFUNCTION("GOOGLETRANSLATE(D1241, ""en"", ""zh-tw"")"),"1. 這條狹窄的通道通往庭院。 2. 請閱讀短文並回答問題。")</f>
        <v>1. 這條狹窄的通道通往庭院。 2. 請閱讀短文並回答問題。</v>
      </c>
    </row>
    <row r="1242">
      <c r="A1242" s="5" t="s">
        <v>3724</v>
      </c>
      <c r="B1242" s="6" t="s">
        <v>3725</v>
      </c>
      <c r="C1242" s="5" t="s">
        <v>7</v>
      </c>
      <c r="D1242" s="5" t="s">
        <v>3726</v>
      </c>
      <c r="E1242" s="3" t="str">
        <f>IFERROR(__xludf.DUMMYFUNCTION("GOOGLETRANSLATE(D1242, ""en"", ""zh-tw"")"),"1. 這家飯店提供許多現代化設施。 2. 這間公寓缺乏基本設施。")</f>
        <v>1. 這家飯店提供許多現代化設施。 2. 這間公寓缺乏基本設施。</v>
      </c>
    </row>
    <row r="1243">
      <c r="A1243" s="5" t="s">
        <v>3727</v>
      </c>
      <c r="B1243" s="6" t="s">
        <v>3728</v>
      </c>
      <c r="C1243" s="5" t="s">
        <v>7</v>
      </c>
      <c r="D1243" s="5" t="s">
        <v>3729</v>
      </c>
      <c r="E1243" s="3" t="str">
        <f>IFERROR(__xludf.DUMMYFUNCTION("GOOGLETRANSLATE(D1243, ""en"", ""zh-tw"")"),"1. 科技可以促進溝通。 2. 經理促進了團隊之間的討論。")</f>
        <v>1. 科技可以促進溝通。 2. 經理促進了團隊之間的討論。</v>
      </c>
    </row>
    <row r="1244">
      <c r="A1244" s="5" t="s">
        <v>3730</v>
      </c>
      <c r="B1244" s="6" t="s">
        <v>3731</v>
      </c>
      <c r="C1244" s="5" t="s">
        <v>7</v>
      </c>
      <c r="D1244" s="5" t="s">
        <v>3732</v>
      </c>
      <c r="E1244" s="3" t="str">
        <f>IFERROR(__xludf.DUMMYFUNCTION("GOOGLETRANSLATE(D1244, ""en"", ""zh-tw"")"),"1. 飯店最多可容納200位客人。 2. 我們會盡力滿足您的要求。")</f>
        <v>1. 飯店最多可容納200位客人。 2. 我們會盡力滿足您的要求。</v>
      </c>
    </row>
    <row r="1245">
      <c r="A1245" s="5" t="s">
        <v>3733</v>
      </c>
      <c r="B1245" s="6" t="s">
        <v>3734</v>
      </c>
      <c r="C1245" s="5" t="s">
        <v>7</v>
      </c>
      <c r="D1245" s="5" t="s">
        <v>3735</v>
      </c>
      <c r="E1245" s="3" t="str">
        <f>IFERROR(__xludf.DUMMYFUNCTION("GOOGLETRANSLATE(D1245, ""en"", ""zh-tw"")"),"1. 公司降低了營運成本。 2. 機器運轉正常。")</f>
        <v>1. 公司降低了營運成本。 2. 機器運轉正常。</v>
      </c>
    </row>
    <row r="1246">
      <c r="A1246" s="5" t="s">
        <v>3736</v>
      </c>
      <c r="B1246" s="6" t="s">
        <v>3737</v>
      </c>
      <c r="C1246" s="5" t="s">
        <v>7</v>
      </c>
      <c r="D1246" s="5" t="s">
        <v>3738</v>
      </c>
      <c r="E1246" s="3" t="str">
        <f>IFERROR(__xludf.DUMMYFUNCTION("GOOGLETRANSLATE(D1246, ""en"", ""zh-tw"")"),"1. 我們的客戶大多是透過推薦來的。 2. 醫生給我開了轉診單，要我去看專科醫生。")</f>
        <v>1. 我們的客戶大多是透過推薦來的。 2. 醫生給我開了轉診單，要我去看專科醫生。</v>
      </c>
    </row>
    <row r="1247">
      <c r="A1247" s="5" t="s">
        <v>3739</v>
      </c>
      <c r="B1247" s="6" t="s">
        <v>3740</v>
      </c>
      <c r="C1247" s="5" t="s">
        <v>7</v>
      </c>
      <c r="D1247" s="5" t="s">
        <v>3741</v>
      </c>
      <c r="E1247" s="3" t="str">
        <f>IFERROR(__xludf.DUMMYFUNCTION("GOOGLETRANSLATE(D1247, ""en"", ""zh-tw"")"),"1. 我的薪資單上有一筆稅金扣除。 2. 他透過邏輯推理得出了這個結論。")</f>
        <v>1. 我的薪資單上有一筆稅金扣除。 2. 他透過邏輯推理得出了這個結論。</v>
      </c>
    </row>
    <row r="1248">
      <c r="A1248" s="5" t="s">
        <v>3742</v>
      </c>
      <c r="B1248" s="6" t="s">
        <v>3743</v>
      </c>
      <c r="C1248" s="5" t="s">
        <v>17</v>
      </c>
      <c r="D1248" s="5" t="s">
        <v>3744</v>
      </c>
      <c r="E1248" s="3" t="str">
        <f>IFERROR(__xludf.DUMMYFUNCTION("GOOGLETRANSLATE(D1248, ""en"", ""zh-tw"")"),"1. 孩子在學校學習加減法。 2. 扣除成本後，利潤減少了。")</f>
        <v>1. 孩子在學校學習加減法。 2. 扣除成本後，利潤減少了。</v>
      </c>
    </row>
    <row r="1249">
      <c r="A1249" s="5" t="s">
        <v>3745</v>
      </c>
      <c r="B1249" s="6" t="s">
        <v>3746</v>
      </c>
      <c r="C1249" s="5" t="s">
        <v>7</v>
      </c>
      <c r="D1249" s="5" t="s">
        <v>3747</v>
      </c>
      <c r="E1249" s="3" t="str">
        <f>IFERROR(__xludf.DUMMYFUNCTION("GOOGLETRANSLATE(D1249, ""en"", ""zh-tw"")"),"1. 公司會從你的薪水中扣除稅金。 2. 我們可以從數據中推導出答案。")</f>
        <v>1. 公司會從你的薪水中扣除稅金。 2. 我們可以從數據中推導出答案。</v>
      </c>
    </row>
    <row r="1250">
      <c r="A1250" s="5" t="s">
        <v>3748</v>
      </c>
      <c r="B1250" s="6" t="s">
        <v>3749</v>
      </c>
      <c r="C1250" s="5" t="s">
        <v>279</v>
      </c>
      <c r="D1250" s="5" t="s">
        <v>3750</v>
      </c>
      <c r="E1250" s="3" t="str">
        <f>IFERROR(__xludf.DUMMYFUNCTION("GOOGLETRANSLATE(D1250, ""en"", ""zh-tw"")"),"1. 薪資應與經驗相符。 2. 所付出的努力與所獲得的回報相稱。")</f>
        <v>1. 薪資應與經驗相符。 2. 所付出的努力與所獲得的回報相稱。</v>
      </c>
    </row>
    <row r="1251">
      <c r="A1251" s="5" t="s">
        <v>3751</v>
      </c>
      <c r="B1251" s="6" t="s">
        <v>3752</v>
      </c>
      <c r="C1251" s="5" t="s">
        <v>279</v>
      </c>
      <c r="D1251" s="5" t="s">
        <v>3753</v>
      </c>
      <c r="E1251" s="3" t="str">
        <f>IFERROR(__xludf.DUMMYFUNCTION("GOOGLETRANSLATE(D1251, ""en"", ""zh-tw"")"),"1. 懲罰應與犯罪程度相稱。 2. 費用應按比例增加。")</f>
        <v>1. 懲罰應與犯罪程度相稱。 2. 費用應按比例增加。</v>
      </c>
    </row>
    <row r="1252">
      <c r="A1252" s="5" t="s">
        <v>3754</v>
      </c>
      <c r="B1252" s="6" t="s">
        <v>3755</v>
      </c>
      <c r="C1252" s="5" t="s">
        <v>7</v>
      </c>
      <c r="D1252" s="5" t="s">
        <v>3756</v>
      </c>
      <c r="E1252" s="3" t="str">
        <f>IFERROR(__xludf.DUMMYFUNCTION("GOOGLETRANSLATE(D1252, ""en"", ""zh-tw"")"),"1. 此資格相當於學士學位。 2. 一美元約等於三十新台幣。")</f>
        <v>1. 此資格相當於學士學位。 2. 一美元約等於三十新台幣。</v>
      </c>
    </row>
    <row r="1253">
      <c r="A1253" s="5" t="s">
        <v>3757</v>
      </c>
      <c r="B1253" s="6" t="s">
        <v>3758</v>
      </c>
      <c r="C1253" s="5" t="s">
        <v>279</v>
      </c>
      <c r="D1253" s="5" t="s">
        <v>3759</v>
      </c>
      <c r="E1253" s="3" t="str">
        <f>IFERROR(__xludf.DUMMYFUNCTION("GOOGLETRANSLATE(D1253, ""en"", ""zh-tw"")"),"1. 專家認為氣候變遷正在加速。 2. 這支球隊將力爭奪冠。")</f>
        <v>1. 專家認為氣候變遷正在加速。 2. 這支球隊將力爭奪冠。</v>
      </c>
    </row>
    <row r="1254">
      <c r="A1254" s="5" t="s">
        <v>3760</v>
      </c>
      <c r="B1254" s="6" t="s">
        <v>3761</v>
      </c>
      <c r="C1254" s="5" t="s">
        <v>17</v>
      </c>
      <c r="D1254" s="5" t="s">
        <v>3762</v>
      </c>
      <c r="E1254" s="3" t="str">
        <f>IFERROR(__xludf.DUMMYFUNCTION("GOOGLETRANSLATE(D1254, ""en"", ""zh-tw"")"),"1. 我們需要合作才能完成這個專案。 2. 該公司與多家國際合作夥伴合作。")</f>
        <v>1. 我們需要合作才能完成這個專案。 2. 該公司與多家國際合作夥伴合作。</v>
      </c>
    </row>
    <row r="1255">
      <c r="A1255" s="5" t="s">
        <v>3763</v>
      </c>
      <c r="B1255" s="6" t="s">
        <v>3764</v>
      </c>
      <c r="C1255" s="5" t="s">
        <v>7</v>
      </c>
      <c r="D1255" s="5" t="s">
        <v>3765</v>
      </c>
      <c r="E1255" s="3" t="str">
        <f>IFERROR(__xludf.DUMMYFUNCTION("GOOGLETRANSLATE(D1255, ""en"", ""zh-tw"")"),"1. 她已確認接受該錄取通知。 2. 她被該計畫錄取了。")</f>
        <v>1. 她已確認接受該錄取通知。 2. 她被該計畫錄取了。</v>
      </c>
    </row>
    <row r="1256">
      <c r="A1256" s="5" t="s">
        <v>3766</v>
      </c>
      <c r="B1256" s="6" t="s">
        <v>3767</v>
      </c>
      <c r="C1256" s="5" t="s">
        <v>7</v>
      </c>
      <c r="D1256" s="5" t="s">
        <v>3768</v>
      </c>
      <c r="E1256" s="3" t="str">
        <f>IFERROR(__xludf.DUMMYFUNCTION("GOOGLETRANSLATE(D1256, ""en"", ""zh-tw"")"),"1. 該計劃需要管理層批准。 2. 她點頭表示同意。")</f>
        <v>1. 該計劃需要管理層批准。 2. 她點頭表示同意。</v>
      </c>
    </row>
    <row r="1257">
      <c r="A1257" s="5" t="s">
        <v>3769</v>
      </c>
      <c r="B1257" s="6" t="s">
        <v>3770</v>
      </c>
      <c r="C1257" s="5" t="s">
        <v>7</v>
      </c>
      <c r="D1257" s="5" t="s">
        <v>3771</v>
      </c>
      <c r="E1257" s="3" t="str">
        <f>IFERROR(__xludf.DUMMYFUNCTION("GOOGLETRANSLATE(D1257, ""en"", ""zh-tw"")"),"1. 新技術的應用提高了效率。 2. 他們正在考慮收養一個孩子。")</f>
        <v>1. 新技術的應用提高了效率。 2. 他們正在考慮收養一個孩子。</v>
      </c>
    </row>
    <row r="1258">
      <c r="A1258" s="5" t="s">
        <v>3772</v>
      </c>
      <c r="B1258" s="6" t="s">
        <v>3773</v>
      </c>
      <c r="C1258" s="5" t="s">
        <v>7</v>
      </c>
      <c r="D1258" s="5" t="s">
        <v>3774</v>
      </c>
      <c r="E1258" s="3" t="str">
        <f>IFERROR(__xludf.DUMMYFUNCTION("GOOGLETRANSLATE(D1258, ""en"", ""zh-tw"")"),"1. 他拒絕合作，導致延誤。 2. 公司收到了客戶的拒絕信。")</f>
        <v>1. 他拒絕合作，導致延誤。 2. 公司收到了客戶的拒絕信。</v>
      </c>
    </row>
    <row r="1259">
      <c r="A1259" s="5" t="s">
        <v>3775</v>
      </c>
      <c r="B1259" s="6" t="s">
        <v>3776</v>
      </c>
      <c r="C1259" s="5" t="s">
        <v>17</v>
      </c>
      <c r="D1259" s="5" t="s">
        <v>3777</v>
      </c>
      <c r="E1259" s="3" t="str">
        <f>IFERROR(__xludf.DUMMYFUNCTION("GOOGLETRANSLATE(D1259, ""en"", ""zh-tw"")"),"1. 此外，我們也提供免費送貨服務。 2. 課程包括理論學習和實務訓練。")</f>
        <v>1. 此外，我們也提供免費送貨服務。 2. 課程包括理論學習和實務訓練。</v>
      </c>
    </row>
    <row r="1260">
      <c r="A1260" s="5" t="s">
        <v>3778</v>
      </c>
      <c r="B1260" s="6" t="s">
        <v>3779</v>
      </c>
      <c r="C1260" s="5" t="s">
        <v>7</v>
      </c>
      <c r="D1260" s="5" t="s">
        <v>3780</v>
      </c>
      <c r="E1260" s="3" t="str">
        <f>IFERROR(__xludf.DUMMYFUNCTION("GOOGLETRANSLATE(D1260, ""en"", ""zh-tw"")"),"1. 該產品價格實惠，而且品質優良。 2. 他經驗豐富，而且非常可靠。")</f>
        <v>1. 該產品價格實惠，而且品質優良。 2. 他經驗豐富，而且非常可靠。</v>
      </c>
    </row>
    <row r="1261">
      <c r="A1261" s="5" t="s">
        <v>3781</v>
      </c>
      <c r="B1261" s="6" t="s">
        <v>3782</v>
      </c>
      <c r="C1261" s="5" t="s">
        <v>7</v>
      </c>
      <c r="D1261" s="5" t="s">
        <v>3783</v>
      </c>
      <c r="E1261" s="3" t="str">
        <f>IFERROR(__xludf.DUMMYFUNCTION("GOOGLETRANSLATE(D1261, ""en"", ""zh-tw"")"),"1. 該方案經濟高效，而且易於實施。 2. 她資歷深厚，而且經驗豐富。")</f>
        <v>1. 該方案經濟高效，而且易於實施。 2. 她資歷深厚，而且經驗豐富。</v>
      </c>
    </row>
    <row r="1262">
      <c r="A1262" s="5" t="s">
        <v>3784</v>
      </c>
      <c r="B1262" s="6" t="s">
        <v>3785</v>
      </c>
      <c r="C1262" s="5" t="s">
        <v>17</v>
      </c>
      <c r="D1262" s="5" t="s">
        <v>3786</v>
      </c>
      <c r="E1262" s="3" t="str">
        <f>IFERROR(__xludf.DUMMYFUNCTION("GOOGLETRANSLATE(D1262, ""en"", ""zh-tw"")"),"1. 街對面掛著一幅大型橫幅。 2. 網站上展示了一則橫幅廣告。")</f>
        <v>1. 街對面掛著一幅大型橫幅。 2. 網站上展示了一則橫幅廣告。</v>
      </c>
    </row>
    <row r="1263">
      <c r="A1263" s="5" t="s">
        <v>3787</v>
      </c>
      <c r="B1263" s="6" t="s">
        <v>3788</v>
      </c>
      <c r="C1263" s="5" t="s">
        <v>17</v>
      </c>
      <c r="D1263" s="5" t="s">
        <v>3789</v>
      </c>
      <c r="E1263" s="3" t="str">
        <f>IFERROR(__xludf.DUMMYFUNCTION("GOOGLETRANSLATE(D1263, ""en"", ""zh-tw"")"),"1. 我們在牆上貼了一張海報。 2. 這張電影海報吸引了許多人。")</f>
        <v>1. 我們在牆上貼了一張海報。 2. 這張電影海報吸引了許多人。</v>
      </c>
    </row>
    <row r="1264">
      <c r="A1264" s="5" t="s">
        <v>3790</v>
      </c>
      <c r="B1264" s="6" t="s">
        <v>3791</v>
      </c>
      <c r="C1264" s="5" t="s">
        <v>17</v>
      </c>
      <c r="D1264" s="5" t="s">
        <v>3792</v>
      </c>
      <c r="E1264" s="3" t="str">
        <f>IFERROR(__xludf.DUMMYFUNCTION("GOOGLETRANSLATE(D1264, ""en"", ""zh-tw"")"),"1. 路口有停車標誌。 2. 請在此處簽名。")</f>
        <v>1. 路口有停車標誌。 2. 請在此處簽名。</v>
      </c>
    </row>
    <row r="1265">
      <c r="A1265" s="5" t="s">
        <v>3793</v>
      </c>
      <c r="B1265" s="6" t="s">
        <v>3794</v>
      </c>
      <c r="C1265" s="5" t="s">
        <v>7</v>
      </c>
      <c r="D1265" s="5" t="s">
        <v>3795</v>
      </c>
      <c r="E1265" s="3" t="str">
        <f>IFERROR(__xludf.DUMMYFUNCTION("GOOGLETRANSLATE(D1265, ""en"", ""zh-tw"")"),"1. 兩家公司之間的談判持續了數小時。 2. 成功的談判需要良好的溝通技巧。")</f>
        <v>1. 兩家公司之間的談判持續了數小時。 2. 成功的談判需要良好的溝通技巧。</v>
      </c>
    </row>
    <row r="1266">
      <c r="A1266" s="5" t="s">
        <v>3796</v>
      </c>
      <c r="B1266" s="6" t="s">
        <v>3797</v>
      </c>
      <c r="C1266" s="5" t="s">
        <v>17</v>
      </c>
      <c r="D1266" s="5" t="s">
        <v>3798</v>
      </c>
      <c r="E1266" s="3" t="str">
        <f>IFERROR(__xludf.DUMMYFUNCTION("GOOGLETRANSLATE(D1266, ""en"", ""zh-tw"")"),"1. 這門課程適合初學者。 2. 我只是個程式新手。")</f>
        <v>1. 這門課程適合初學者。 2. 我只是個程式新手。</v>
      </c>
    </row>
    <row r="1267">
      <c r="A1267" s="5" t="s">
        <v>3799</v>
      </c>
      <c r="B1267" s="6" t="s">
        <v>3800</v>
      </c>
      <c r="C1267" s="5" t="s">
        <v>7</v>
      </c>
      <c r="D1267" s="5" t="s">
        <v>3801</v>
      </c>
      <c r="E1267" s="3" t="str">
        <f>IFERROR(__xludf.DUMMYFUNCTION("GOOGLETRANSLATE(D1267, ""en"", ""zh-tw"")"),"1. 他還是個交易新手。 2. 這套系統操作簡單，新手也能輕鬆上手。")</f>
        <v>1. 他還是個交易新手。 2. 這套系統操作簡單，新手也能輕鬆上手。</v>
      </c>
    </row>
    <row r="1268">
      <c r="A1268" s="5" t="s">
        <v>3802</v>
      </c>
      <c r="B1268" s="6" t="s">
        <v>3803</v>
      </c>
      <c r="C1268" s="5" t="s">
        <v>17</v>
      </c>
      <c r="D1268" s="5" t="s">
        <v>3804</v>
      </c>
      <c r="E1268" s="3" t="str">
        <f>IFERROR(__xludf.DUMMYFUNCTION("GOOGLETRANSLATE(D1268, ""en"", ""zh-tw"")"),"1. 這門課程是為初學者設計的。 2. 我們點了一份沙拉當開胃菜。")</f>
        <v>1. 這門課程是為初學者設計的。 2. 我們點了一份沙拉當開胃菜。</v>
      </c>
    </row>
    <row r="1269">
      <c r="A1269" s="5" t="s">
        <v>3805</v>
      </c>
      <c r="B1269" s="6" t="s">
        <v>3806</v>
      </c>
      <c r="C1269" s="5" t="s">
        <v>7</v>
      </c>
      <c r="D1269" s="5" t="s">
        <v>3807</v>
      </c>
      <c r="E1269" s="3" t="str">
        <f>IFERROR(__xludf.DUMMYFUNCTION("GOOGLETRANSLATE(D1269, ""en"", ""zh-tw"")"),"1. 這座城市夜生活豐富多彩。 2. 她穿著一件鮮豔的紅色洋裝。")</f>
        <v>1. 這座城市夜生活豐富多彩。 2. 她穿著一件鮮豔的紅色洋裝。</v>
      </c>
    </row>
    <row r="1270">
      <c r="A1270" s="5" t="s">
        <v>3808</v>
      </c>
      <c r="B1270" s="6" t="s">
        <v>3809</v>
      </c>
      <c r="C1270" s="5" t="s">
        <v>17</v>
      </c>
      <c r="D1270" s="5" t="s">
        <v>3810</v>
      </c>
      <c r="E1270" s="3" t="str">
        <f>IFERROR(__xludf.DUMMYFUNCTION("GOOGLETRANSLATE(D1270, ""en"", ""zh-tw"")"),"1. 房間明亮寬敞。 2. 她是一位優秀的學生。")</f>
        <v>1. 房間明亮寬敞。 2. 她是一位優秀的學生。</v>
      </c>
    </row>
    <row r="1271">
      <c r="A1271" s="5" t="s">
        <v>3811</v>
      </c>
      <c r="B1271" s="6" t="s">
        <v>3812</v>
      </c>
      <c r="C1271" s="5" t="s">
        <v>17</v>
      </c>
      <c r="D1271" s="5" t="s">
        <v>3813</v>
      </c>
      <c r="E1271" s="3" t="str">
        <f>IFERROR(__xludf.DUMMYFUNCTION("GOOGLETRANSLATE(D1271, ""en"", ""zh-tw"")"),"1. 良好的衛生習慣對健康很重要。 2. 這家餐廳遵循嚴格的衛生標準。")</f>
        <v>1. 良好的衛生習慣對健康很重要。 2. 這家餐廳遵循嚴格的衛生標準。</v>
      </c>
    </row>
    <row r="1272">
      <c r="A1272" s="5" t="s">
        <v>3814</v>
      </c>
      <c r="B1272" s="6" t="s">
        <v>3815</v>
      </c>
      <c r="C1272" s="5" t="s">
        <v>17</v>
      </c>
      <c r="D1272" s="5" t="s">
        <v>3816</v>
      </c>
      <c r="E1272" s="3" t="str">
        <f>IFERROR(__xludf.DUMMYFUNCTION("GOOGLETRANSLATE(D1272, ""en"", ""zh-tw"")"),"1. 老師稱讚他字跡工整。 2. 在職場中，整潔很重要。")</f>
        <v>1. 老師稱讚他字跡工整。 2. 在職場中，整潔很重要。</v>
      </c>
    </row>
    <row r="1273">
      <c r="A1273" s="5" t="s">
        <v>3817</v>
      </c>
      <c r="B1273" s="6" t="s">
        <v>3818</v>
      </c>
      <c r="C1273" s="5" t="s">
        <v>17</v>
      </c>
      <c r="D1273" s="5" t="s">
        <v>3819</v>
      </c>
      <c r="E1273" s="3" t="str">
        <f>IFERROR(__xludf.DUMMYFUNCTION("GOOGLETRANSLATE(D1273, ""en"", ""zh-tw"")"),"1. 房間的髒亂程度讓我們感到驚訝。 2. 他抱怨街道的髒亂。")</f>
        <v>1. 房間的髒亂程度讓我們感到驚訝。 2. 他抱怨街道的髒亂。</v>
      </c>
    </row>
    <row r="1274">
      <c r="A1274" s="5" t="s">
        <v>3820</v>
      </c>
      <c r="B1274" s="6" t="s">
        <v>3821</v>
      </c>
      <c r="C1274" s="5" t="s">
        <v>7</v>
      </c>
      <c r="D1274" s="5" t="s">
        <v>3822</v>
      </c>
      <c r="E1274" s="3" t="str">
        <f>IFERROR(__xludf.DUMMYFUNCTION("GOOGLETRANSLATE(D1274, ""en"", ""zh-tw"")"),"1. 她是註冊會計師。 2. 這份文件已由政府認證。")</f>
        <v>1. 她是註冊會計師。 2. 這份文件已由政府認證。</v>
      </c>
    </row>
    <row r="1275">
      <c r="A1275" s="5" t="s">
        <v>3823</v>
      </c>
      <c r="B1275" s="6" t="s">
        <v>3824</v>
      </c>
      <c r="C1275" s="5" t="s">
        <v>17</v>
      </c>
      <c r="D1275" s="5" t="s">
        <v>3825</v>
      </c>
      <c r="E1275" s="3" t="str">
        <f>IFERROR(__xludf.DUMMYFUNCTION("GOOGLETRANSLATE(D1275, ""en"", ""zh-tw"")"),"1. 這本小冊子解釋了新政策。 2. 我們在飯店收到了一份旅遊小冊子。")</f>
        <v>1. 這本小冊子解釋了新政策。 2. 我們在飯店收到了一份旅遊小冊子。</v>
      </c>
    </row>
    <row r="1276">
      <c r="A1276" s="5" t="s">
        <v>3826</v>
      </c>
      <c r="B1276" s="6" t="s">
        <v>3827</v>
      </c>
      <c r="C1276" s="5" t="s">
        <v>279</v>
      </c>
      <c r="D1276" s="5" t="s">
        <v>3828</v>
      </c>
      <c r="E1276" s="3" t="str">
        <f>IFERROR(__xludf.DUMMYFUNCTION("GOOGLETRANSLATE(D1276, ""en"", ""zh-tw"")"),"1. 設計風格簡潔美觀。 2. 該建築兼具功能性和美觀性。")</f>
        <v>1. 設計風格簡潔美觀。 2. 該建築兼具功能性和美觀性。</v>
      </c>
    </row>
    <row r="1277">
      <c r="A1277" s="5" t="s">
        <v>3829</v>
      </c>
      <c r="B1277" s="6" t="s">
        <v>3830</v>
      </c>
      <c r="C1277" s="5" t="s">
        <v>17</v>
      </c>
      <c r="D1277" s="5" t="s">
        <v>3831</v>
      </c>
      <c r="E1277" s="3" t="str">
        <f>IFERROR(__xludf.DUMMYFUNCTION("GOOGLETRANSLATE(D1277, ""en"", ""zh-tw"")"),"我們把飲料放進冷藏箱裡。")</f>
        <v>我們把飲料放進冷藏箱裡。</v>
      </c>
    </row>
    <row r="1278">
      <c r="A1278" s="5" t="s">
        <v>3832</v>
      </c>
      <c r="B1278" s="6" t="s">
        <v>3833</v>
      </c>
      <c r="C1278" s="5" t="s">
        <v>7</v>
      </c>
      <c r="D1278" s="5" t="s">
        <v>3834</v>
      </c>
      <c r="E1278" s="3" t="str">
        <f>IFERROR(__xludf.DUMMYFUNCTION("GOOGLETRANSLATE(D1278, ""en"", ""zh-tw"")"),"1. 我們需要在明天之前得到明確的答案。 2. 目前還沒有具體的計畫。")</f>
        <v>1. 我們需要在明天之前得到明確的答案。 2. 目前還沒有具體的計畫。</v>
      </c>
    </row>
    <row r="1279">
      <c r="A1279" s="5" t="s">
        <v>3835</v>
      </c>
      <c r="B1279" s="6" t="s">
        <v>3836</v>
      </c>
      <c r="C1279" s="5" t="s">
        <v>7</v>
      </c>
      <c r="D1279" s="5" t="s">
        <v>3837</v>
      </c>
      <c r="E1279" s="3" t="str">
        <f>IFERROR(__xludf.DUMMYFUNCTION("GOOGLETRANSLATE(D1279, ""en"", ""zh-tw"")"),"1. 他的解釋含糊不清，令人困惑。 2. 我對發生的事情只有個模糊的概念。")</f>
        <v>1. 他的解釋含糊不清，令人困惑。 2. 我對發生的事情只有個模糊的概念。</v>
      </c>
    </row>
    <row r="1280">
      <c r="A1280" s="5" t="s">
        <v>3838</v>
      </c>
      <c r="B1280" s="6" t="s">
        <v>3839</v>
      </c>
      <c r="C1280" s="5" t="s">
        <v>7</v>
      </c>
      <c r="D1280" s="5" t="s">
        <v>3840</v>
      </c>
      <c r="E1280" s="3" t="str">
        <f>IFERROR(__xludf.DUMMYFUNCTION("GOOGLETRANSLATE(D1280, ""en"", ""zh-tw"")"),"1. 該公司成立於2010年，隨後拓展了海外業務。 2. 他搬到了日本，隨後開始了一份新工作。")</f>
        <v>1. 該公司成立於2010年，隨後拓展了海外業務。 2. 他搬到了日本，隨後開始了一份新工作。</v>
      </c>
    </row>
    <row r="1281">
      <c r="A1281" s="5" t="s">
        <v>3841</v>
      </c>
      <c r="B1281" s="6" t="s">
        <v>3842</v>
      </c>
      <c r="C1281" s="5" t="s">
        <v>17</v>
      </c>
      <c r="D1281" s="5" t="s">
        <v>3843</v>
      </c>
      <c r="E1281" s="3" t="str">
        <f>IFERROR(__xludf.DUMMYFUNCTION("GOOGLETRANSLATE(D1281, ""en"", ""zh-tw"")"),"1. 他在考試中犯了一個粗心的錯誤。 2. 粗心駕駛會導致事故。")</f>
        <v>1. 他在考試中犯了一個粗心的錯誤。 2. 粗心駕駛會導致事故。</v>
      </c>
    </row>
    <row r="1282">
      <c r="A1282" s="5" t="s">
        <v>3844</v>
      </c>
      <c r="B1282" s="6" t="s">
        <v>3845</v>
      </c>
      <c r="C1282" s="5" t="s">
        <v>7</v>
      </c>
      <c r="D1282" s="5" t="s">
        <v>3846</v>
      </c>
      <c r="E1282" s="3" t="str">
        <f>IFERROR(__xludf.DUMMYFUNCTION("GOOGLETRANSLATE(D1282, ""en"", ""zh-tw"")"),"1. 他報告寫得很馬虎。 2. 她的字跡潦草，難以辨認。")</f>
        <v>1. 他報告寫得很馬虎。 2. 她的字跡潦草，難以辨認。</v>
      </c>
    </row>
    <row r="1283">
      <c r="A1283" s="5" t="s">
        <v>3847</v>
      </c>
      <c r="B1283" s="6" t="s">
        <v>3848</v>
      </c>
      <c r="C1283" s="5" t="s">
        <v>7</v>
      </c>
      <c r="D1283" s="5" t="s">
        <v>3849</v>
      </c>
      <c r="E1283" s="3" t="str">
        <f>IFERROR(__xludf.DUMMYFUNCTION("GOOGLETRANSLATE(D1283, ""en"", ""zh-tw"")"),"1. 他投資理財很謹慎。 2. 雨天開車要小心。")</f>
        <v>1. 他投資理財很謹慎。 2. 雨天開車要小心。</v>
      </c>
    </row>
    <row r="1284">
      <c r="A1284" s="5" t="s">
        <v>3850</v>
      </c>
      <c r="B1284" s="6" t="s">
        <v>3851</v>
      </c>
      <c r="C1284" s="5" t="s">
        <v>17</v>
      </c>
      <c r="D1284" s="5" t="s">
        <v>3852</v>
      </c>
      <c r="E1284" s="3" t="str">
        <f>IFERROR(__xludf.DUMMYFUNCTION("GOOGLETRANSLATE(D1284, ""en"", ""zh-tw"")"),"1. 尖峰時段交通擁擠。 2. 高速公路上車流量大。")</f>
        <v>1. 尖峰時段交通擁擠。 2. 高速公路上車流量大。</v>
      </c>
    </row>
    <row r="1285">
      <c r="A1285" s="5" t="s">
        <v>3853</v>
      </c>
      <c r="B1285" s="6" t="s">
        <v>3854</v>
      </c>
      <c r="C1285" s="5" t="s">
        <v>7</v>
      </c>
      <c r="D1285" s="5" t="s">
        <v>3855</v>
      </c>
      <c r="E1285" s="3" t="str">
        <f>IFERROR(__xludf.DUMMYFUNCTION("GOOGLETRANSLATE(D1285, ""en"", ""zh-tw"")"),"1. 你應該優先處理緊急任務。 2. 公司將客戶滿意度放在第一位。")</f>
        <v>1. 你應該優先處理緊急任務。 2. 公司將客戶滿意度放在第一位。</v>
      </c>
    </row>
    <row r="1286">
      <c r="A1286" s="5" t="s">
        <v>3856</v>
      </c>
      <c r="B1286" s="6" t="s">
        <v>3857</v>
      </c>
      <c r="C1286" s="5" t="s">
        <v>7</v>
      </c>
      <c r="D1286" s="5" t="s">
        <v>3858</v>
      </c>
      <c r="E1286" s="3" t="str">
        <f>IFERROR(__xludf.DUMMYFUNCTION("GOOGLETRANSLATE(D1286, ""en"", ""zh-tw"")"),"交易在最後一刻告吹。")</f>
        <v>交易在最後一刻告吹。</v>
      </c>
    </row>
    <row r="1287">
      <c r="A1287" s="5" t="s">
        <v>3859</v>
      </c>
      <c r="B1287" s="6" t="s">
        <v>3860</v>
      </c>
      <c r="C1287" s="5" t="s">
        <v>7</v>
      </c>
      <c r="D1287" s="5" t="s">
        <v>3861</v>
      </c>
      <c r="E1287" s="3" t="str">
        <f>IFERROR(__xludf.DUMMYFUNCTION("GOOGLETRANSLATE(D1287, ""en"", ""zh-tw"")"),"1. 地震後，建築物倒塌了。 2. 他因精疲力竭而倒下。")</f>
        <v>1. 地震後，建築物倒塌了。 2. 他因精疲力竭而倒下。</v>
      </c>
    </row>
    <row r="1288">
      <c r="A1288" s="5" t="s">
        <v>3862</v>
      </c>
      <c r="B1288" s="6" t="s">
        <v>3863</v>
      </c>
      <c r="C1288" s="5" t="s">
        <v>17</v>
      </c>
      <c r="D1288" s="5" t="s">
        <v>3864</v>
      </c>
      <c r="E1288" s="3" t="str">
        <f>IFERROR(__xludf.DUMMYFUNCTION("GOOGLETRANSLATE(D1288, ""en"", ""zh-tw"")"),"她去理髮店剪頭髮。")</f>
        <v>她去理髮店剪頭髮。</v>
      </c>
    </row>
    <row r="1289">
      <c r="A1289" s="5" t="s">
        <v>3865</v>
      </c>
      <c r="B1289" s="6" t="s">
        <v>3866</v>
      </c>
      <c r="C1289" s="5" t="s">
        <v>7</v>
      </c>
      <c r="D1289" s="5" t="s">
        <v>3867</v>
      </c>
      <c r="E1289" s="3" t="str">
        <f>IFERROR(__xludf.DUMMYFUNCTION("GOOGLETRANSLATE(D1289, ""en"", ""zh-tw"")"),"1. 該公司今年的營收有所成長。 2. 稅收收入用於公共服務。")</f>
        <v>1. 該公司今年的營收有所成長。 2. 稅收收入用於公共服務。</v>
      </c>
    </row>
    <row r="1290">
      <c r="A1290" s="5" t="s">
        <v>3868</v>
      </c>
      <c r="B1290" s="6" t="s">
        <v>3869</v>
      </c>
      <c r="C1290" s="5" t="s">
        <v>17</v>
      </c>
      <c r="D1290" s="5" t="s">
        <v>3870</v>
      </c>
      <c r="E1290" s="3" t="str">
        <f>IFERROR(__xludf.DUMMYFUNCTION("GOOGLETRANSLATE(D1290, ""en"", ""zh-tw"")"),"1. 上個月產品銷售量有所成長。 2. 這是年度最暢銷書籍。")</f>
        <v>1. 上個月產品銷售量有所成長。 2. 這是年度最暢銷書籍。</v>
      </c>
    </row>
    <row r="1291">
      <c r="A1291" s="5" t="s">
        <v>3871</v>
      </c>
      <c r="B1291" s="6" t="s">
        <v>3872</v>
      </c>
      <c r="C1291" s="5" t="s">
        <v>7</v>
      </c>
      <c r="D1291" s="5" t="s">
        <v>3873</v>
      </c>
      <c r="E1291" s="3" t="str">
        <f>IFERROR(__xludf.DUMMYFUNCTION("GOOGLETRANSLATE(D1291, ""en"", ""zh-tw"")"),"1. 政府計畫改革教育體系。 2. 經濟改革對經濟成長至關重要。")</f>
        <v>1. 政府計畫改革教育體系。 2. 經濟改革對經濟成長至關重要。</v>
      </c>
    </row>
    <row r="1292">
      <c r="A1292" s="5" t="s">
        <v>3874</v>
      </c>
      <c r="B1292" s="6" t="s">
        <v>3875</v>
      </c>
      <c r="C1292" s="5" t="s">
        <v>7</v>
      </c>
      <c r="D1292" s="5" t="s">
        <v>3876</v>
      </c>
      <c r="E1292" s="3" t="str">
        <f>IFERROR(__xludf.DUMMYFUNCTION("GOOGLETRANSLATE(D1292, ""en"", ""zh-tw"")"),"1. 請嚴格遵守安全準則。 2. 公司發布了新的員工準則。")</f>
        <v>1. 請嚴格遵守安全準則。 2. 公司發布了新的員工準則。</v>
      </c>
    </row>
    <row r="1293">
      <c r="A1293" s="5" t="s">
        <v>3877</v>
      </c>
      <c r="B1293" s="6" t="s">
        <v>3878</v>
      </c>
      <c r="C1293" s="5" t="s">
        <v>17</v>
      </c>
      <c r="D1293" s="5" t="s">
        <v>3879</v>
      </c>
      <c r="E1293" s="3" t="str">
        <f>IFERROR(__xludf.DUMMYFUNCTION("GOOGLETRANSLATE(D1293, ""en"", ""zh-tw"")"),"1. 該帳戶已長期處於非活動狀態。 2. 該設備目前處於非活動狀態。")</f>
        <v>1. 該帳戶已長期處於非活動狀態。 2. 該設備目前處於非活動狀態。</v>
      </c>
    </row>
    <row r="1294">
      <c r="A1294" s="5" t="s">
        <v>3880</v>
      </c>
      <c r="B1294" s="6" t="s">
        <v>3881</v>
      </c>
      <c r="C1294" s="5" t="s">
        <v>7</v>
      </c>
      <c r="D1294" s="5" t="s">
        <v>3882</v>
      </c>
      <c r="E1294" s="3" t="str">
        <f>IFERROR(__xludf.DUMMYFUNCTION("GOOGLETRANSLATE(D1294, ""en"", ""zh-tw"")"),"1. 這些機器已經閒置好幾個小時了。 2. 不要讓引擎長時間怠速運轉。")</f>
        <v>1. 這些機器已經閒置好幾個小時了。 2. 不要讓引擎長時間怠速運轉。</v>
      </c>
    </row>
    <row r="1295">
      <c r="A1295" s="5" t="s">
        <v>3883</v>
      </c>
      <c r="B1295" s="6" t="s">
        <v>3884</v>
      </c>
      <c r="C1295" s="5" t="s">
        <v>279</v>
      </c>
      <c r="D1295" s="5" t="s">
        <v>3885</v>
      </c>
      <c r="E1295" s="3" t="str">
        <f>IFERROR(__xludf.DUMMYFUNCTION("GOOGLETRANSLATE(D1295, ""en"", ""zh-tw"")"),"1. 這座火山已經休眠了幾個世紀。 2. 該專案停滯了數年。")</f>
        <v>1. 這座火山已經休眠了幾個世紀。 2. 該專案停滯了數年。</v>
      </c>
    </row>
    <row r="1296">
      <c r="A1296" s="5" t="s">
        <v>3886</v>
      </c>
      <c r="B1296" s="6" t="s">
        <v>3887</v>
      </c>
      <c r="C1296" s="5" t="s">
        <v>17</v>
      </c>
      <c r="D1296" s="5" t="s">
        <v>3888</v>
      </c>
      <c r="E1296" s="3" t="str">
        <f>IFERROR(__xludf.DUMMYFUNCTION("GOOGLETRANSLATE(D1296, ""en"", ""zh-tw"")"),"1. 請係好安全帶。 2. 他扣上了外套的羈扣。")</f>
        <v>1. 請係好安全帶。 2. 他扣上了外套的羈扣。</v>
      </c>
    </row>
    <row r="1297">
      <c r="A1297" s="5" t="s">
        <v>3889</v>
      </c>
      <c r="B1297" s="6" t="s">
        <v>3890</v>
      </c>
      <c r="C1297" s="5" t="s">
        <v>7</v>
      </c>
      <c r="D1297" s="5" t="s">
        <v>3891</v>
      </c>
      <c r="E1297" s="3" t="str">
        <f>IFERROR(__xludf.DUMMYFUNCTION("GOOGLETRANSLATE(D1297, ""en"", ""zh-tw"")"),"1. 這台機器將空氣壓縮到一個小型儲氣罐中。 2. 在發送文件前，您應該先壓縮文件。")</f>
        <v>1. 這台機器將空氣壓縮到一個小型儲氣罐中。 2. 在發送文件前，您應該先壓縮文件。</v>
      </c>
    </row>
    <row r="1298">
      <c r="A1298" s="5" t="s">
        <v>3892</v>
      </c>
      <c r="B1298" s="6" t="s">
        <v>3893</v>
      </c>
      <c r="C1298" s="5" t="s">
        <v>7</v>
      </c>
      <c r="D1298" s="5" t="s">
        <v>3894</v>
      </c>
      <c r="E1298" s="3" t="str">
        <f>IFERROR(__xludf.DUMMYFUNCTION("GOOGLETRANSLATE(D1298, ""en"", ""zh-tw"")"),"1. 僅允許在指定區域吸煙。 2. 他被任命為隊長。")</f>
        <v>1. 僅允許在指定區域吸煙。 2. 他被任命為隊長。</v>
      </c>
    </row>
    <row r="1299">
      <c r="A1299" s="5" t="s">
        <v>3895</v>
      </c>
      <c r="B1299" s="6" t="s">
        <v>3896</v>
      </c>
      <c r="C1299" s="5" t="s">
        <v>17</v>
      </c>
      <c r="D1299" s="5" t="s">
        <v>3897</v>
      </c>
      <c r="E1299" s="3" t="str">
        <f>IFERROR(__xludf.DUMMYFUNCTION("GOOGLETRANSLATE(D1299, ""en"", ""zh-tw"")"),"顧客對服務提出了投訴。")</f>
        <v>顧客對服務提出了投訴。</v>
      </c>
    </row>
    <row r="1300">
      <c r="A1300" s="5" t="s">
        <v>3898</v>
      </c>
      <c r="B1300" s="6" t="s">
        <v>3899</v>
      </c>
      <c r="C1300" s="5" t="s">
        <v>7</v>
      </c>
      <c r="D1300" s="5" t="s">
        <v>3900</v>
      </c>
      <c r="E1300" s="3" t="str">
        <f>IFERROR(__xludf.DUMMYFUNCTION("GOOGLETRANSLATE(D1300, ""en"", ""zh-tw"")"),"1. 該員工對公司提出了申訴。 2. 他認為自己受到了不公平待遇。")</f>
        <v>1. 該員工對公司提出了申訴。 2. 他認為自己受到了不公平待遇。</v>
      </c>
    </row>
    <row r="1301">
      <c r="A1301" s="5" t="s">
        <v>3901</v>
      </c>
      <c r="B1301" s="6" t="s">
        <v>3902</v>
      </c>
      <c r="C1301" s="5" t="s">
        <v>7</v>
      </c>
      <c r="D1301" s="5" t="s">
        <v>3903</v>
      </c>
      <c r="E1301" s="3" t="str">
        <f>IFERROR(__xludf.DUMMYFUNCTION("GOOGLETRANSLATE(D1301, ""en"", ""zh-tw"")"),"1. 這項計劃受到了很多批評。 2. 她處理批評的方式很好。")</f>
        <v>1. 這項計劃受到了很多批評。 2. 她處理批評的方式很好。</v>
      </c>
    </row>
    <row r="1302">
      <c r="A1302" s="5" t="s">
        <v>3904</v>
      </c>
      <c r="B1302" s="6" t="s">
        <v>3905</v>
      </c>
      <c r="C1302" s="5" t="s">
        <v>17</v>
      </c>
      <c r="D1302" s="5" t="s">
        <v>3906</v>
      </c>
      <c r="E1302" s="3" t="str">
        <f>IFERROR(__xludf.DUMMYFUNCTION("GOOGLETRANSLATE(D1302, ""en"", ""zh-tw"")"),"1. 老師表揚了學生們的努力。 2. 她因出色的表現而受到表揚。")</f>
        <v>1. 老師表揚了學生們的努力。 2. 她因出色的表現而受到表揚。</v>
      </c>
    </row>
    <row r="1303">
      <c r="A1303" s="5" t="s">
        <v>3907</v>
      </c>
      <c r="B1303" s="6" t="s">
        <v>3905</v>
      </c>
      <c r="C1303" s="5" t="s">
        <v>17</v>
      </c>
      <c r="D1303" s="5" t="s">
        <v>3908</v>
      </c>
      <c r="E1303" s="3" t="str">
        <f>IFERROR(__xludf.DUMMYFUNCTION("GOOGLETRANSLATE(D1303, ""en"", ""zh-tw"")"),"1. 她的裙子受到了很多讚美。 2. 他稱讚了我的演講。")</f>
        <v>1. 她的裙子受到了很多讚美。 2. 他稱讚了我的演講。</v>
      </c>
    </row>
    <row r="1304">
      <c r="A1304" s="5" t="s">
        <v>3909</v>
      </c>
      <c r="B1304" s="6" t="s">
        <v>3910</v>
      </c>
      <c r="C1304" s="5" t="s">
        <v>279</v>
      </c>
      <c r="D1304" s="5" t="s">
        <v>3911</v>
      </c>
      <c r="E1304" s="3" t="str">
        <f>IFERROR(__xludf.DUMMYFUNCTION("GOOGLETRANSLATE(D1304, ""en"", ""zh-tw"")"),"1. 你必須在中午之前騰空房間。 2. 法院撤銷了先前的判決。")</f>
        <v>1. 你必須在中午之前騰空房間。 2. 法院撤銷了先前的判決。</v>
      </c>
    </row>
    <row r="1305">
      <c r="A1305" s="5" t="s">
        <v>3912</v>
      </c>
      <c r="B1305" s="6" t="s">
        <v>3913</v>
      </c>
      <c r="C1305" s="5" t="s">
        <v>17</v>
      </c>
      <c r="D1305" s="5" t="s">
        <v>3914</v>
      </c>
      <c r="E1305" s="3" t="str">
        <f>IFERROR(__xludf.DUMMYFUNCTION("GOOGLETRANSLATE(D1305, ""en"", ""zh-tw"")"),"1. 在懸崖邊要小心。 2. 該公司在技術上比競爭對手更有優勢。")</f>
        <v>1. 在懸崖邊要小心。 2. 該公司在技術上比競爭對手更有優勢。</v>
      </c>
    </row>
    <row r="1306">
      <c r="A1306" s="5" t="s">
        <v>3915</v>
      </c>
      <c r="B1306" s="6" t="s">
        <v>3916</v>
      </c>
      <c r="C1306" s="5" t="s">
        <v>7</v>
      </c>
      <c r="D1306" s="5" t="s">
        <v>3917</v>
      </c>
      <c r="E1306" s="3" t="str">
        <f>IFERROR(__xludf.DUMMYFUNCTION("GOOGLETRANSLATE(D1306, ""en"", ""zh-tw"")"),"1. 該系統的主要缺點是成本高昂。 2. 另一個主要缺點是缺乏經驗。")</f>
        <v>1. 該系統的主要缺點是成本高昂。 2. 另一個主要缺點是缺乏經驗。</v>
      </c>
    </row>
    <row r="1307">
      <c r="A1307" s="5" t="s">
        <v>3918</v>
      </c>
      <c r="B1307" s="6" t="s">
        <v>3919</v>
      </c>
      <c r="C1307" s="5" t="s">
        <v>7</v>
      </c>
      <c r="D1307" s="5" t="s">
        <v>3920</v>
      </c>
      <c r="E1307" s="3" t="str">
        <f>IFERROR(__xludf.DUMMYFUNCTION("GOOGLETRANSLATE(D1307, ""en"", ""zh-tw"")"),"1. 他們的熱情好客給我們留下了深刻的印象。 2. 她在旅館業工作。")</f>
        <v>1. 他們的熱情好客給我們留下了深刻的印象。 2. 她在旅館業工作。</v>
      </c>
    </row>
    <row r="1308">
      <c r="A1308" s="5" t="s">
        <v>3921</v>
      </c>
      <c r="B1308" s="6" t="s">
        <v>3922</v>
      </c>
      <c r="C1308" s="5" t="s">
        <v>7</v>
      </c>
      <c r="D1308" s="5" t="s">
        <v>3923</v>
      </c>
      <c r="E1308" s="3" t="str">
        <f>IFERROR(__xludf.DUMMYFUNCTION("GOOGLETRANSLATE(D1308, ""en"", ""zh-tw"")"),"1. 該材料的耐用性使其成為戶外使用的理想選擇。 2. 顧客非常重視該產品的耐用性。")</f>
        <v>1. 該材料的耐用性使其成為戶外使用的理想選擇。 2. 顧客非常重視該產品的耐用性。</v>
      </c>
    </row>
    <row r="1309">
      <c r="A1309" s="5" t="s">
        <v>3924</v>
      </c>
      <c r="B1309" s="6" t="s">
        <v>3925</v>
      </c>
      <c r="C1309" s="5" t="s">
        <v>7</v>
      </c>
      <c r="D1309" s="5" t="s">
        <v>3926</v>
      </c>
      <c r="E1309" s="3" t="str">
        <f>IFERROR(__xludf.DUMMYFUNCTION("GOOGLETRANSLATE(D1309, ""en"", ""zh-tw"")"),"1. 這張桌子非常堅固，適合高強度使用。 2. 我們測試了桌子結構的穩固性。")</f>
        <v>1. 這張桌子非常堅固，適合高強度使用。 2. 我們測試了桌子結構的穩固性。</v>
      </c>
    </row>
    <row r="1310">
      <c r="A1310" s="5" t="s">
        <v>3927</v>
      </c>
      <c r="B1310" s="6" t="s">
        <v>3928</v>
      </c>
      <c r="C1310" s="5" t="s">
        <v>7</v>
      </c>
      <c r="D1310" s="5" t="s">
        <v>3929</v>
      </c>
      <c r="E1310" s="3" t="str">
        <f>IFERROR(__xludf.DUMMYFUNCTION("GOOGLETRANSLATE(D1310, ""en"", ""zh-tw"")"),"1. 玻璃易碎。 2. 經濟的脆弱性令投資者擔憂。")</f>
        <v>1. 玻璃易碎。 2. 經濟的脆弱性令投資者擔憂。</v>
      </c>
    </row>
    <row r="1311">
      <c r="A1311" s="5" t="s">
        <v>3930</v>
      </c>
      <c r="B1311" s="6" t="s">
        <v>3931</v>
      </c>
      <c r="C1311" s="5" t="s">
        <v>7</v>
      </c>
      <c r="D1311" s="5" t="s">
        <v>3932</v>
      </c>
      <c r="E1311" s="3" t="str">
        <f>IFERROR(__xludf.DUMMYFUNCTION("GOOGLETRANSLATE(D1311, ""en"", ""zh-tw"")"),"1. 請詳細說明您的需求。 2. 合約中會明文規定交貨日期。")</f>
        <v>1. 請詳細說明您的需求。 2. 合約中會明文規定交貨日期。</v>
      </c>
    </row>
    <row r="1312">
      <c r="A1312" s="5" t="s">
        <v>3933</v>
      </c>
      <c r="B1312" s="6" t="s">
        <v>3934</v>
      </c>
      <c r="C1312" s="5" t="s">
        <v>7</v>
      </c>
      <c r="D1312" s="5" t="s">
        <v>3935</v>
      </c>
      <c r="E1312" s="3" t="str">
        <f>IFERROR(__xludf.DUMMYFUNCTION("GOOGLETRANSLATE(D1312, ""en"", ""zh-tw"")"),"1. 該公司是領先的網路服務供應商。 2. 他是家裡主要的經濟支柱。")</f>
        <v>1. 該公司是領先的網路服務供應商。 2. 他是家裡主要的經濟支柱。</v>
      </c>
    </row>
    <row r="1313">
      <c r="A1313" s="5" t="s">
        <v>3936</v>
      </c>
      <c r="B1313" s="6" t="s">
        <v>3937</v>
      </c>
      <c r="C1313" s="5" t="s">
        <v>17</v>
      </c>
      <c r="D1313" s="5" t="s">
        <v>3938</v>
      </c>
      <c r="E1313" s="3" t="str">
        <f>IFERROR(__xludf.DUMMYFUNCTION("GOOGLETRANSLATE(D1313, ""en"", ""zh-tw"")"),"吸煙有害健康。")</f>
        <v>吸煙有害健康。</v>
      </c>
    </row>
    <row r="1314">
      <c r="A1314" s="5" t="s">
        <v>3939</v>
      </c>
      <c r="B1314" s="6" t="s">
        <v>3940</v>
      </c>
      <c r="C1314" s="5" t="s">
        <v>279</v>
      </c>
      <c r="D1314" s="5" t="s">
        <v>3941</v>
      </c>
      <c r="E1314" s="3" t="str">
        <f>IFERROR(__xludf.DUMMYFUNCTION("GOOGLETRANSLATE(D1314, ""en"", ""zh-tw"")"),"1. 實驗室配備了先進的儀器設備。 2. 實驗所需的儀器設備必須經過仔細校正。")</f>
        <v>1. 實驗室配備了先進的儀器設備。 2. 實驗所需的儀器設備必須經過仔細校正。</v>
      </c>
    </row>
    <row r="1315">
      <c r="A1315" s="5" t="s">
        <v>3942</v>
      </c>
      <c r="B1315" s="6" t="s">
        <v>3943</v>
      </c>
      <c r="C1315" s="5" t="s">
        <v>17</v>
      </c>
      <c r="D1315" s="5" t="s">
        <v>3944</v>
      </c>
      <c r="E1315" s="3" t="str">
        <f>IFERROR(__xludf.DUMMYFUNCTION("GOOGLETRANSLATE(D1315, ""en"", ""zh-tw"")"),"1. 飯店位於風景優美的地區。 2. 我們選擇了一條沿海的風景優美的路線。")</f>
        <v>1. 飯店位於風景優美的地區。 2. 我們選擇了一條沿海的風景優美的路線。</v>
      </c>
    </row>
    <row r="1316">
      <c r="A1316" s="5" t="s">
        <v>3945</v>
      </c>
      <c r="B1316" s="6" t="s">
        <v>3946</v>
      </c>
      <c r="C1316" s="5" t="s">
        <v>7</v>
      </c>
      <c r="D1316" s="5" t="s">
        <v>3947</v>
      </c>
      <c r="E1316" s="3" t="str">
        <f>IFERROR(__xludf.DUMMYFUNCTION("GOOGLETRANSLATE(D1316, ""en"", ""zh-tw"")"),"1. 這個村莊風景如畫。 2. 我們住在湖邊一個風景如畫的小鎮。")</f>
        <v>1. 這個村莊風景如畫。 2. 我們住在湖邊一個風景如畫的小鎮。</v>
      </c>
    </row>
    <row r="1317">
      <c r="A1317" s="5" t="s">
        <v>3948</v>
      </c>
      <c r="B1317" s="6" t="s">
        <v>3949</v>
      </c>
      <c r="C1317" s="5" t="s">
        <v>7</v>
      </c>
      <c r="D1317" s="5" t="s">
        <v>3950</v>
      </c>
      <c r="E1317" s="3" t="str">
        <f>IFERROR(__xludf.DUMMYFUNCTION("GOOGLETRANSLATE(D1317, ""en"", ""zh-tw"")"),"1. 檢查員檢查了工廠的安全狀況。 2. 建築檢查員批准了該建築工程。")</f>
        <v>1. 檢查員檢查了工廠的安全狀況。 2. 建築檢查員批准了該建築工程。</v>
      </c>
    </row>
    <row r="1318">
      <c r="A1318" s="5" t="s">
        <v>3951</v>
      </c>
      <c r="B1318" s="6" t="s">
        <v>3952</v>
      </c>
      <c r="C1318" s="5" t="s">
        <v>17</v>
      </c>
      <c r="D1318" s="5" t="s">
        <v>3953</v>
      </c>
      <c r="E1318" s="3" t="str">
        <f>IFERROR(__xludf.DUMMYFUNCTION("GOOGLETRANSLATE(D1318, ""en"", ""zh-tw"")"),"1. 本課程需要線上註冊。 2. 車輛登記必須每年更新。")</f>
        <v>1. 本課程需要線上註冊。 2. 車輛登記必須每年更新。</v>
      </c>
    </row>
    <row r="1319">
      <c r="A1319" s="5" t="s">
        <v>3954</v>
      </c>
      <c r="B1319" s="6" t="s">
        <v>3955</v>
      </c>
      <c r="C1319" s="5" t="s">
        <v>17</v>
      </c>
      <c r="D1319" s="5" t="s">
        <v>3956</v>
      </c>
      <c r="E1319" s="3" t="str">
        <f>IFERROR(__xludf.DUMMYFUNCTION("GOOGLETRANSLATE(D1319, ""en"", ""zh-tw"")"),"1. 該課程下週開始報名。 2. 學校學生入學人數增加。")</f>
        <v>1. 該課程下週開始報名。 2. 學校學生入學人數增加。</v>
      </c>
    </row>
    <row r="1320">
      <c r="A1320" s="5" t="s">
        <v>3957</v>
      </c>
      <c r="B1320" s="6" t="s">
        <v>3958</v>
      </c>
      <c r="C1320" s="5" t="s">
        <v>7</v>
      </c>
      <c r="D1320" s="5" t="s">
        <v>3959</v>
      </c>
      <c r="E1320" s="3" t="str">
        <f>IFERROR(__xludf.DUMMYFUNCTION("GOOGLETRANSLATE(D1320, ""en"", ""zh-tw"")"),"1. 他承擔了自己行為的後果。 2. 由於延誤，會議被推遲了。")</f>
        <v>1. 他承擔了自己行為的後果。 2. 由於延誤，會議被推遲了。</v>
      </c>
    </row>
    <row r="1321">
      <c r="A1321" s="5" t="s">
        <v>3960</v>
      </c>
      <c r="B1321" s="6" t="s">
        <v>3961</v>
      </c>
      <c r="C1321" s="5" t="s">
        <v>279</v>
      </c>
      <c r="D1321" s="5" t="s">
        <v>3962</v>
      </c>
      <c r="E1321" s="3" t="str">
        <f>IFERROR(__xludf.DUMMYFUNCTION("GOOGLETRANSLATE(D1321, ""en"", ""zh-tw"")"),"1. 她負責協調兩個部門之間的溝通。 2. 經理與客戶保持密切聯繫。")</f>
        <v>1. 她負責協調兩個部門之間的溝通。 2. 經理與客戶保持密切聯繫。</v>
      </c>
    </row>
    <row r="1322">
      <c r="A1322" s="5" t="s">
        <v>3963</v>
      </c>
      <c r="B1322" s="6" t="s">
        <v>3964</v>
      </c>
      <c r="C1322" s="5" t="s">
        <v>17</v>
      </c>
      <c r="D1322" s="5" t="s">
        <v>3965</v>
      </c>
      <c r="E1322" s="3" t="str">
        <f>IFERROR(__xludf.DUMMYFUNCTION("GOOGLETRANSLATE(D1322, ""en"", ""zh-tw"")"),"1. 下課後請先擦掉白板上的內容。 2. 他從電腦裡刪除了那份檔案。")</f>
        <v>1. 下課後請先擦掉白板上的內容。 2. 他從電腦裡刪除了那份檔案。</v>
      </c>
    </row>
    <row r="1323">
      <c r="A1323" s="5" t="s">
        <v>3966</v>
      </c>
      <c r="B1323" s="6" t="s">
        <v>3967</v>
      </c>
      <c r="C1323" s="5" t="s">
        <v>17</v>
      </c>
      <c r="D1323" s="5" t="s">
        <v>3968</v>
      </c>
      <c r="E1323" s="3" t="str">
        <f>IFERROR(__xludf.DUMMYFUNCTION("GOOGLETRANSLATE(D1323, ""en"", ""zh-tw"")"),"我給我的床買了個新床墊。")</f>
        <v>我給我的床買了個新床墊。</v>
      </c>
    </row>
    <row r="1324">
      <c r="A1324" s="5" t="s">
        <v>3969</v>
      </c>
      <c r="B1324" s="6" t="s">
        <v>3970</v>
      </c>
      <c r="C1324" s="5" t="s">
        <v>17</v>
      </c>
      <c r="D1324" s="5" t="s">
        <v>3971</v>
      </c>
      <c r="E1324" s="3" t="str">
        <f>IFERROR(__xludf.DUMMYFUNCTION("GOOGLETRANSLATE(D1324, ""en"", ""zh-tw"")"),"1. 她說服我加入了團隊。 2. 很難讓他相信真相。")</f>
        <v>1. 她說服我加入了團隊。 2. 很難讓他相信真相。</v>
      </c>
    </row>
    <row r="1325">
      <c r="A1325" s="5" t="s">
        <v>3972</v>
      </c>
      <c r="B1325" s="6" t="s">
        <v>3973</v>
      </c>
      <c r="C1325" s="5" t="s">
        <v>17</v>
      </c>
      <c r="D1325" s="5" t="s">
        <v>3974</v>
      </c>
      <c r="E1325" s="3" t="str">
        <f>IFERROR(__xludf.DUMMYFUNCTION("GOOGLETRANSLATE(D1325, ""en"", ""zh-tw"")"),"1. 她勸他改變了主意。 2. 我最後說服了老闆批准這項計畫。")</f>
        <v>1. 她勸他改變了主意。 2. 我最後說服了老闆批准這項計畫。</v>
      </c>
    </row>
    <row r="1326">
      <c r="A1326" s="5" t="s">
        <v>3975</v>
      </c>
      <c r="B1326" s="6" t="s">
        <v>3976</v>
      </c>
      <c r="C1326" s="5" t="s">
        <v>7</v>
      </c>
      <c r="D1326" s="5" t="s">
        <v>3977</v>
      </c>
      <c r="E1326" s="3" t="str">
        <f>IFERROR(__xludf.DUMMYFUNCTION("GOOGLETRANSLATE(D1326, ""en"", ""zh-tw"")"),"1. 我向你保證一切都會順利的。 2. 經理向客戶保證會準時交貨。")</f>
        <v>1. 我向你保證一切都會順利的。 2. 經理向客戶保證會準時交貨。</v>
      </c>
    </row>
    <row r="1327">
      <c r="A1327" s="5" t="s">
        <v>3978</v>
      </c>
      <c r="B1327" s="6" t="s">
        <v>3979</v>
      </c>
      <c r="C1327" s="5" t="s">
        <v>279</v>
      </c>
      <c r="D1327" s="5" t="s">
        <v>3980</v>
      </c>
      <c r="E1327" s="3" t="str">
        <f>IFERROR(__xludf.DUMMYFUNCTION("GOOGLETRANSLATE(D1327, ""en"", ""zh-tw"")"),"我試著勸阻他不要辭職。")</f>
        <v>我試著勸阻他不要辭職。</v>
      </c>
    </row>
    <row r="1328">
      <c r="A1328" s="5" t="s">
        <v>3981</v>
      </c>
      <c r="B1328" s="6" t="s">
        <v>3982</v>
      </c>
      <c r="C1328" s="5" t="s">
        <v>17</v>
      </c>
      <c r="D1328" s="5" t="s">
        <v>3983</v>
      </c>
      <c r="E1328" s="3" t="str">
        <f>IFERROR(__xludf.DUMMYFUNCTION("GOOGLETRANSLATE(D1328, ""en"", ""zh-tw"")"),"1. 他喜歡每個週末都去衝浪。 2. 我上網找資訊。")</f>
        <v>1. 他喜歡每個週末都去衝浪。 2. 我上網找資訊。</v>
      </c>
    </row>
    <row r="1329">
      <c r="A1329" s="5" t="s">
        <v>3984</v>
      </c>
      <c r="B1329" s="6" t="s">
        <v>3985</v>
      </c>
      <c r="C1329" s="5" t="s">
        <v>7</v>
      </c>
      <c r="D1329" s="5" t="s">
        <v>3986</v>
      </c>
      <c r="E1329" s="3" t="str">
        <f>IFERROR(__xludf.DUMMYFUNCTION("GOOGLETRANSLATE(D1329, ""en"", ""zh-tw"")"),"1. 你有義務完成這項任務。 2. 你沒有法律義務參加會議。")</f>
        <v>1. 你有義務完成這項任務。 2. 你沒有法律義務參加會議。</v>
      </c>
    </row>
    <row r="1330">
      <c r="A1330" s="5" t="s">
        <v>3987</v>
      </c>
      <c r="B1330" s="6" t="s">
        <v>3988</v>
      </c>
      <c r="C1330" s="5" t="s">
        <v>7</v>
      </c>
      <c r="D1330" s="5" t="s">
        <v>3989</v>
      </c>
      <c r="E1330" s="3" t="str">
        <f>IFERROR(__xludf.DUMMYFUNCTION("GOOGLETRANSLATE(D1330, ""en"", ""zh-tw"")"),"1. 你應該定期備份文件。 2. 警察以支援人員身分趕到現場。")</f>
        <v>1. 你應該定期備份文件。 2. 警察以支援人員身分趕到現場。</v>
      </c>
    </row>
    <row r="1331">
      <c r="A1331" s="5" t="s">
        <v>3990</v>
      </c>
      <c r="B1331" s="6" t="s">
        <v>3991</v>
      </c>
      <c r="C1331" s="5" t="s">
        <v>279</v>
      </c>
      <c r="D1331" s="5" t="s">
        <v>3992</v>
      </c>
      <c r="E1331" s="3" t="str">
        <f>IFERROR(__xludf.DUMMYFUNCTION("GOOGLETRANSLATE(D1331, ""en"", ""zh-tw"")"),"1. 這起醜聞損害了公眾對政府的信任。 2. 溝通不良會破壞團隊合作。")</f>
        <v>1. 這起醜聞損害了公眾對政府的信任。 2. 溝通不良會破壞團隊合作。</v>
      </c>
    </row>
    <row r="1332">
      <c r="A1332" s="5" t="s">
        <v>3993</v>
      </c>
      <c r="B1332" s="6" t="s">
        <v>3994</v>
      </c>
      <c r="C1332" s="5" t="s">
        <v>17</v>
      </c>
      <c r="D1332" s="5" t="s">
        <v>3995</v>
      </c>
      <c r="E1332" s="3" t="str">
        <f>IFERROR(__xludf.DUMMYFUNCTION("GOOGLETRANSLATE(D1332, ""en"", ""zh-tw"")"),"1. 我訂閱了公司新聞簡報。 2. 新聞簡報提供新產品的最新資訊。")</f>
        <v>1. 我訂閱了公司新聞簡報。 2. 新聞簡報提供新產品的最新資訊。</v>
      </c>
    </row>
    <row r="1333">
      <c r="A1333" s="5" t="s">
        <v>3996</v>
      </c>
      <c r="B1333" s="6" t="s">
        <v>3997</v>
      </c>
      <c r="C1333" s="5" t="s">
        <v>7</v>
      </c>
      <c r="D1333" s="5" t="s">
        <v>3998</v>
      </c>
      <c r="E1333" s="3" t="str">
        <f>IFERROR(__xludf.DUMMYFUNCTION("GOOGLETRANSLATE(D1333, ""en"", ""zh-tw"")"),"1. 文件擺放得井然有序。 2. 人群有序地離開了體育場。")</f>
        <v>1. 文件擺放得井然有序。 2. 人群有序地離開了體育場。</v>
      </c>
    </row>
    <row r="1334">
      <c r="A1334" s="5" t="s">
        <v>3999</v>
      </c>
      <c r="B1334" s="6" t="s">
        <v>4000</v>
      </c>
      <c r="C1334" s="5" t="s">
        <v>17</v>
      </c>
      <c r="D1334" s="5" t="s">
        <v>4001</v>
      </c>
      <c r="E1334" s="3" t="str">
        <f>IFERROR(__xludf.DUMMYFUNCTION("GOOGLETRANSLATE(D1334, ""en"", ""zh-tw"")"),"1. 她把書整齊地擺放在書架上。 2. 這份報告寫得工整整潔。")</f>
        <v>1. 她把書整齊地擺放在書架上。 2. 這份報告寫得工整整潔。</v>
      </c>
    </row>
    <row r="1335">
      <c r="A1335" s="5" t="s">
        <v>4002</v>
      </c>
      <c r="B1335" s="6" t="s">
        <v>4003</v>
      </c>
      <c r="C1335" s="5" t="s">
        <v>17</v>
      </c>
      <c r="D1335" s="5" t="s">
        <v>4004</v>
      </c>
      <c r="E1335" s="3" t="str">
        <f>IFERROR(__xludf.DUMMYFUNCTION("GOOGLETRANSLATE(D1335, ""en"", ""zh-tw"")"),"1. 他的房間總是很亂。 2. 這個專案最後變成了一團糟。")</f>
        <v>1. 他的房間總是很亂。 2. 這個專案最後變成了一團糟。</v>
      </c>
    </row>
    <row r="1336">
      <c r="A1336" s="5" t="s">
        <v>4005</v>
      </c>
      <c r="B1336" s="6" t="s">
        <v>4006</v>
      </c>
      <c r="C1336" s="5" t="s">
        <v>7</v>
      </c>
      <c r="D1336" s="5" t="s">
        <v>4007</v>
      </c>
      <c r="E1336" s="3" t="str">
        <f>IFERROR(__xludf.DUMMYFUNCTION("GOOGLETRANSLATE(D1336, ""en"", ""zh-tw"")"),"我們的目的地是台北。")</f>
        <v>我們的目的地是台北。</v>
      </c>
    </row>
    <row r="1337">
      <c r="A1337" s="5" t="s">
        <v>4008</v>
      </c>
      <c r="B1337" s="6" t="s">
        <v>4009</v>
      </c>
      <c r="C1337" s="5" t="s">
        <v>7</v>
      </c>
      <c r="D1337" s="5" t="s">
        <v>4010</v>
      </c>
      <c r="E1337" s="3" t="str">
        <f>IFERROR(__xludf.DUMMYFUNCTION("GOOGLETRANSLATE(D1337, ""en"", ""zh-tw"")"),"1. 她在音樂方面極具​​天賦。 2. 這家飯店的服務非常出色。")</f>
        <v>1. 她在音樂方面極具​​天賦。 2. 這家飯店的服務非常出色。</v>
      </c>
    </row>
    <row r="1338">
      <c r="A1338" s="5" t="s">
        <v>4011</v>
      </c>
      <c r="B1338" s="6" t="s">
        <v>4012</v>
      </c>
      <c r="C1338" s="5" t="s">
        <v>17</v>
      </c>
      <c r="D1338" s="5" t="s">
        <v>4013</v>
      </c>
      <c r="E1338" s="3" t="str">
        <f>IFERROR(__xludf.DUMMYFUNCTION("GOOGLETRANSLATE(D1338, ""en"", ""zh-tw"")"),"1. 她是新上任的經理。 2. 這棟大樓剛翻新過。")</f>
        <v>1. 她是新上任的經理。 2. 這棟大樓剛翻新過。</v>
      </c>
    </row>
    <row r="1339">
      <c r="A1339" s="5" t="s">
        <v>4014</v>
      </c>
      <c r="B1339" s="6" t="s">
        <v>4015</v>
      </c>
      <c r="C1339" s="5" t="s">
        <v>7</v>
      </c>
      <c r="D1339" s="5" t="s">
        <v>4016</v>
      </c>
      <c r="E1339" s="3" t="str">
        <f>IFERROR(__xludf.DUMMYFUNCTION("GOOGLETRANSLATE(D1339, ""en"", ""zh-tw"")"),"1. 我們到達了機場航廈。 2. 這位病人患有絕症。")</f>
        <v>1. 我們到達了機場航廈。 2. 這位病人患有絕症。</v>
      </c>
    </row>
    <row r="1340">
      <c r="A1340" s="5" t="s">
        <v>4017</v>
      </c>
      <c r="B1340" s="6" t="s">
        <v>4018</v>
      </c>
      <c r="C1340" s="5" t="s">
        <v>7</v>
      </c>
      <c r="D1340" s="5" t="s">
        <v>4019</v>
      </c>
      <c r="E1340" s="3" t="str">
        <f>IFERROR(__xludf.DUMMYFUNCTION("GOOGLETRANSLATE(D1340, ""en"", ""zh-tw"")"),"1. 該公司發起了一項新的廣告宣傳活動。 2. 他們正在爭取改善工作條件。")</f>
        <v>1. 該公司發起了一項新的廣告宣傳活動。 2. 他們正在爭取改善工作條件。</v>
      </c>
    </row>
    <row r="1341">
      <c r="A1341" s="5" t="s">
        <v>4020</v>
      </c>
      <c r="B1341" s="6" t="s">
        <v>4021</v>
      </c>
      <c r="C1341" s="5" t="s">
        <v>7</v>
      </c>
      <c r="D1341" s="5" t="s">
        <v>4022</v>
      </c>
      <c r="E1341" s="3" t="str">
        <f>IFERROR(__xludf.DUMMYFUNCTION("GOOGLETRANSLATE(D1341, ""en"", ""zh-tw"")"),"1. 這兩家公司結成了策略聯盟。 2. 這兩個國家結成了軍事聯盟。")</f>
        <v>1. 這兩家公司結成了策略聯盟。 2. 這兩個國家結成了軍事聯盟。</v>
      </c>
    </row>
    <row r="1342">
      <c r="A1342" s="5" t="s">
        <v>4023</v>
      </c>
      <c r="B1342" s="6" t="s">
        <v>4024</v>
      </c>
      <c r="C1342" s="5" t="s">
        <v>7</v>
      </c>
      <c r="D1342" s="5" t="s">
        <v>4025</v>
      </c>
      <c r="E1342" s="3" t="str">
        <f>IFERROR(__xludf.DUMMYFUNCTION("GOOGLETRANSLATE(D1342, ""en"", ""zh-tw"")"),"1. 他從叔叔那裡繼承了一大筆遺產。 2. 這家公司從事房地產業務。")</f>
        <v>1. 他從叔叔那裡繼承了一大筆遺產。 2. 這家公司從事房地產業務。</v>
      </c>
    </row>
    <row r="1343">
      <c r="A1343" s="5" t="s">
        <v>4026</v>
      </c>
      <c r="B1343" s="6" t="s">
        <v>4027</v>
      </c>
      <c r="C1343" s="5" t="s">
        <v>7</v>
      </c>
      <c r="D1343" s="5" t="s">
        <v>4028</v>
      </c>
      <c r="E1343" s="3" t="str">
        <f>IFERROR(__xludf.DUMMYFUNCTION("GOOGLETRANSLATE(D1343, ""en"", ""zh-tw"")"),"1. 他申請了銀行貸款。 2. 圖書館會把這本書借給你兩週。")</f>
        <v>1. 他申請了銀行貸款。 2. 圖書館會把這本書借給你兩週。</v>
      </c>
    </row>
    <row r="1344">
      <c r="A1344" s="5" t="s">
        <v>4029</v>
      </c>
      <c r="B1344" s="6" t="s">
        <v>4030</v>
      </c>
      <c r="C1344" s="5" t="s">
        <v>7</v>
      </c>
      <c r="D1344" s="5" t="s">
        <v>4031</v>
      </c>
      <c r="E1344" s="3" t="str">
        <f>IFERROR(__xludf.DUMMYFUNCTION("GOOGLETRANSLATE(D1344, ""en"", ""zh-tw"")"),"1. 該公司申報了其年度收入。 2. 你必須在海關申報所有物品。")</f>
        <v>1. 該公司申報了其年度收入。 2. 你必須在海關申報所有物品。</v>
      </c>
    </row>
    <row r="1345">
      <c r="A1345" s="5" t="s">
        <v>4032</v>
      </c>
      <c r="B1345" s="6" t="s">
        <v>4033</v>
      </c>
      <c r="C1345" s="5" t="s">
        <v>7</v>
      </c>
      <c r="D1345" s="5" t="s">
        <v>4034</v>
      </c>
      <c r="E1345" s="3" t="str">
        <f>IFERROR(__xludf.DUMMYFUNCTION("GOOGLETRANSLATE(D1345, ""en"", ""zh-tw"")"),"1. 市議會批准了這項新政策。 2. 她是學生會成員。")</f>
        <v>1. 市議會批准了這項新政策。 2. 她是學生會成員。</v>
      </c>
    </row>
    <row r="1346">
      <c r="A1346" s="5" t="s">
        <v>4035</v>
      </c>
      <c r="B1346" s="6" t="s">
        <v>4036</v>
      </c>
      <c r="C1346" s="5" t="s">
        <v>7</v>
      </c>
      <c r="D1346" s="5" t="s">
        <v>4037</v>
      </c>
      <c r="E1346" s="3" t="str">
        <f>IFERROR(__xludf.DUMMYFUNCTION("GOOGLETRANSLATE(D1346, ""en"", ""zh-tw"")"),"1. 該公司提交了專案方案。 2. 他向女友求婚了。")</f>
        <v>1. 該公司提交了專案方案。 2. 他向女友求婚了。</v>
      </c>
    </row>
    <row r="1347">
      <c r="A1347" s="5" t="s">
        <v>4038</v>
      </c>
      <c r="B1347" s="6" t="s">
        <v>4039</v>
      </c>
      <c r="C1347" s="5" t="s">
        <v>279</v>
      </c>
      <c r="D1347" s="5" t="s">
        <v>4040</v>
      </c>
      <c r="E1347" s="3" t="str">
        <f>IFERROR(__xludf.DUMMYFUNCTION("GOOGLETRANSLATE(D1347, ""en"", ""zh-tw"")"),"1. 政府發布了旅遊安全建議。 2. 她在某個顧問委員會任職。")</f>
        <v>1. 政府發布了旅遊安全建議。 2. 她在某個顧問委員會任職。</v>
      </c>
    </row>
    <row r="1348">
      <c r="A1348" s="5" t="s">
        <v>4041</v>
      </c>
      <c r="B1348" s="6" t="s">
        <v>4042</v>
      </c>
      <c r="C1348" s="5" t="s">
        <v>17</v>
      </c>
      <c r="D1348" s="5" t="s">
        <v>4043</v>
      </c>
      <c r="E1348" s="3" t="str">
        <f>IFERROR(__xludf.DUMMYFUNCTION("GOOGLETRANSLATE(D1348, ""en"", ""zh-tw"")"),"我請求提供更多資訊。")</f>
        <v>我請求提供更多資訊。</v>
      </c>
    </row>
    <row r="1349">
      <c r="A1349" s="5" t="s">
        <v>4044</v>
      </c>
      <c r="B1349" s="6" t="s">
        <v>4045</v>
      </c>
      <c r="C1349" s="5" t="s">
        <v>17</v>
      </c>
      <c r="D1349" s="5" t="s">
        <v>4046</v>
      </c>
      <c r="E1349" s="3" t="str">
        <f>IFERROR(__xludf.DUMMYFUNCTION("GOOGLETRANSLATE(D1349, ""en"", ""zh-tw"")"),"1. 火車將於上午9點出發。 2. 她打破了常規程序。")</f>
        <v>1. 火車將於上午9點出發。 2. 她打破了常規程序。</v>
      </c>
    </row>
    <row r="1350">
      <c r="A1350" s="5" t="s">
        <v>4047</v>
      </c>
      <c r="B1350" s="6" t="s">
        <v>4048</v>
      </c>
      <c r="C1350" s="5" t="s">
        <v>17</v>
      </c>
      <c r="D1350" s="5" t="s">
        <v>4049</v>
      </c>
      <c r="E1350" s="3" t="str">
        <f>IFERROR(__xludf.DUMMYFUNCTION("GOOGLETRANSLATE(D1350, ""en"", ""zh-tw"")"),"1. 十個人中有兩個人同意了。 2. 我們的牛奶用完了。 3. 他這樣做是出於好心。")</f>
        <v>1. 十個人中有兩個人同意了。 2. 我們的牛奶用完了。 3. 他這樣做是出於好心。</v>
      </c>
    </row>
    <row r="1351">
      <c r="A1351" s="5" t="s">
        <v>4050</v>
      </c>
      <c r="B1351" s="6" t="s">
        <v>4051</v>
      </c>
      <c r="C1351" s="5" t="s">
        <v>17</v>
      </c>
      <c r="D1351" s="5" t="s">
        <v>4052</v>
      </c>
      <c r="E1351" s="3" t="str">
        <f>IFERROR(__xludf.DUMMYFUNCTION("GOOGLETRANSLATE(D1351, ""en"", ""zh-tw"")"),"1. 外面下著大雨。 2. 這家公司嚴重依賴出口。")</f>
        <v>1. 外面下著大雨。 2. 這家公司嚴重依賴出口。</v>
      </c>
    </row>
    <row r="1352">
      <c r="A1352" s="5" t="s">
        <v>4053</v>
      </c>
      <c r="B1352" s="6" t="s">
        <v>4054</v>
      </c>
      <c r="C1352" s="5" t="s">
        <v>17</v>
      </c>
      <c r="D1352" s="5" t="s">
        <v>4055</v>
      </c>
      <c r="E1352" s="3" t="str">
        <f>IFERROR(__xludf.DUMMYFUNCTION("GOOGLETRANSLATE(D1352, ""en"", ""zh-tw"")"),"1. 今天天氣比較暖和。 2. 他對這個計畫有點興趣。")</f>
        <v>1. 今天天氣比較暖和。 2. 他對這個計畫有點興趣。</v>
      </c>
    </row>
    <row r="1353">
      <c r="A1353" s="5" t="s">
        <v>4056</v>
      </c>
      <c r="B1353" s="6" t="s">
        <v>4057</v>
      </c>
      <c r="C1353" s="5" t="s">
        <v>7</v>
      </c>
      <c r="D1353" s="5" t="s">
        <v>4058</v>
      </c>
      <c r="E1353" s="3" t="str">
        <f>IFERROR(__xludf.DUMMYFUNCTION("GOOGLETRANSLATE(D1353, ""en"", ""zh-tw"")"),"1. 本產品僅在線上銷售。 2. 本俱樂部僅限會員加入。")</f>
        <v>1. 本產品僅在線上銷售。 2. 本俱樂部僅限會員加入。</v>
      </c>
    </row>
    <row r="1354">
      <c r="A1354" s="5" t="s">
        <v>4059</v>
      </c>
      <c r="B1354" s="6" t="s">
        <v>4060</v>
      </c>
      <c r="C1354" s="5" t="s">
        <v>7</v>
      </c>
      <c r="D1354" s="5" t="s">
        <v>4061</v>
      </c>
      <c r="E1354" s="3" t="str">
        <f>IFERROR(__xludf.DUMMYFUNCTION("GOOGLETRANSLATE(D1354, ""en"", ""zh-tw"")"),"1. 她獲得了最佳員工獎提名。 2. 委員會提名他擔任主席。")</f>
        <v>1. 她獲得了最佳員工獎提名。 2. 委員會提名他擔任主席。</v>
      </c>
    </row>
    <row r="1355">
      <c r="A1355" s="5" t="s">
        <v>4062</v>
      </c>
      <c r="B1355" s="6" t="s">
        <v>4063</v>
      </c>
      <c r="C1355" s="5" t="s">
        <v>7</v>
      </c>
      <c r="D1355" s="5" t="s">
        <v>4064</v>
      </c>
      <c r="E1355" s="3" t="str">
        <f>IFERROR(__xludf.DUMMYFUNCTION("GOOGLETRANSLATE(D1355, ""en"", ""zh-tw"")"),"1. 評估員仔細審查了該項目。 2. 她擔任培訓計畫的評估員。")</f>
        <v>1. 評估員仔細審查了該項目。 2. 她擔任培訓計畫的評估員。</v>
      </c>
    </row>
    <row r="1356">
      <c r="A1356" s="5" t="s">
        <v>4065</v>
      </c>
      <c r="B1356" s="6" t="s">
        <v>4066</v>
      </c>
      <c r="C1356" s="5" t="s">
        <v>7</v>
      </c>
      <c r="D1356" s="5" t="s">
        <v>4067</v>
      </c>
      <c r="E1356" s="3" t="str">
        <f>IFERROR(__xludf.DUMMYFUNCTION("GOOGLETRANSLATE(D1356, ""en"", ""zh-tw"")"),"1. 法院對此案作出了判決。 2. 執政黨再次贏得選舉。")</f>
        <v>1. 法院對此案作出了判決。 2. 執政黨再次贏得選舉。</v>
      </c>
    </row>
    <row r="1357">
      <c r="A1357" s="5" t="s">
        <v>4068</v>
      </c>
      <c r="B1357" s="6" t="s">
        <v>4069</v>
      </c>
      <c r="C1357" s="5" t="s">
        <v>7</v>
      </c>
      <c r="D1357" s="5" t="s">
        <v>4070</v>
      </c>
      <c r="E1357" s="3" t="str">
        <f>IFERROR(__xludf.DUMMYFUNCTION("GOOGLETRANSLATE(D1357, ""en"", ""zh-tw"")"),"1. 市場環境的變化影響了銷售。 2. 公司內部的優先事項發生了變化。")</f>
        <v>1. 市場環境的變化影響了銷售。 2. 公司內部的優先事項發生了變化。</v>
      </c>
    </row>
    <row r="1358">
      <c r="A1358" s="5" t="s">
        <v>4071</v>
      </c>
      <c r="B1358" s="6" t="s">
        <v>4072</v>
      </c>
      <c r="C1358" s="5" t="s">
        <v>7</v>
      </c>
      <c r="D1358" s="5" t="s">
        <v>4073</v>
      </c>
      <c r="E1358" s="3" t="str">
        <f>IFERROR(__xludf.DUMMYFUNCTION("GOOGLETRANSLATE(D1358, ""en"", ""zh-tw"")"),"1. 他的論點很有說服力。 2. 證據並不十分令人信服。")</f>
        <v>1. 他的論點很有說服力。 2. 證據並不十分令人信服。</v>
      </c>
    </row>
    <row r="1359">
      <c r="A1359" s="5" t="s">
        <v>4074</v>
      </c>
      <c r="B1359" s="6" t="s">
        <v>4075</v>
      </c>
      <c r="C1359" s="5" t="s">
        <v>7</v>
      </c>
      <c r="D1359" s="5" t="s">
        <v>4076</v>
      </c>
      <c r="E1359" s="3" t="str">
        <f>IFERROR(__xludf.DUMMYFUNCTION("GOOGLETRANSLATE(D1359, ""en"", ""zh-tw"")"),"1. 這種藥延長了他的壽命。 2. 他們試圖不必要地延長會議時間。")</f>
        <v>1. 這種藥延長了他的壽命。 2. 他們試圖不必要地延長會議時間。</v>
      </c>
    </row>
    <row r="1360">
      <c r="A1360" s="5" t="s">
        <v>4077</v>
      </c>
      <c r="B1360" s="6" t="s">
        <v>4078</v>
      </c>
      <c r="C1360" s="5" t="s">
        <v>7</v>
      </c>
      <c r="D1360" s="5" t="s">
        <v>4079</v>
      </c>
      <c r="E1360" s="3" t="str">
        <f>IFERROR(__xludf.DUMMYFUNCTION("GOOGLETRANSLATE(D1360, ""en"", ""zh-tw"")"),"這兩份文件內容完全相同。")</f>
        <v>這兩份文件內容完全相同。</v>
      </c>
    </row>
    <row r="1361">
      <c r="A1361" s="5" t="s">
        <v>4080</v>
      </c>
      <c r="B1361" s="6" t="s">
        <v>4081</v>
      </c>
      <c r="C1361" s="5" t="s">
        <v>7</v>
      </c>
      <c r="D1361" s="5" t="s">
        <v>4082</v>
      </c>
      <c r="E1361" s="3" t="str">
        <f>IFERROR(__xludf.DUMMYFUNCTION("GOOGLETRANSLATE(D1361, ""en"", ""zh-tw"")"),"1. 該公司是市場上的主導企業。 2. 英語是國際商務中的主導語言。")</f>
        <v>1. 該公司是市場上的主導企業。 2. 英語是國際商務中的主導語言。</v>
      </c>
    </row>
    <row r="1362">
      <c r="A1362" s="5" t="s">
        <v>4083</v>
      </c>
      <c r="B1362" s="6" t="s">
        <v>4084</v>
      </c>
      <c r="C1362" s="5" t="s">
        <v>17</v>
      </c>
      <c r="D1362" s="5" t="s">
        <v>4085</v>
      </c>
      <c r="E1362" s="3" t="str">
        <f>IFERROR(__xludf.DUMMYFUNCTION("GOOGLETRANSLATE(D1362, ""en"", ""zh-tw"")"),"1. 這兩款產品非常相似。 2. 她的觀點和我相似。")</f>
        <v>1. 這兩款產品非常相似。 2. 她的觀點和我相似。</v>
      </c>
    </row>
    <row r="1363">
      <c r="A1363" s="5" t="s">
        <v>4086</v>
      </c>
      <c r="B1363" s="6" t="s">
        <v>4087</v>
      </c>
      <c r="C1363" s="5" t="s">
        <v>17</v>
      </c>
      <c r="D1363" s="5" t="s">
        <v>4088</v>
      </c>
      <c r="E1363" s="3" t="str">
        <f>IFERROR(__xludf.DUMMYFUNCTION("GOOGLETRANSLATE(D1363, ""en"", ""zh-tw"")"),"1. 他做了個友善的手勢。 2. 她示意我坐下。")</f>
        <v>1. 他做了個友善的手勢。 2. 她示意我坐下。</v>
      </c>
    </row>
    <row r="1364">
      <c r="A1364" s="5" t="s">
        <v>4089</v>
      </c>
      <c r="B1364" s="6" t="s">
        <v>4090</v>
      </c>
      <c r="C1364" s="5" t="s">
        <v>7</v>
      </c>
      <c r="D1364" s="5" t="s">
        <v>4091</v>
      </c>
      <c r="E1364" s="3" t="str">
        <f>IFERROR(__xludf.DUMMYFUNCTION("GOOGLETRANSLATE(D1364, ""en"", ""zh-tw"")"),"1. 公司旨在建立良好的客戶關係。 2. 良好的客戶關係是品牌的重要資產。")</f>
        <v>1. 公司旨在建立良好的客戶關係。 2. 良好的客戶關係是品牌的重要資產。</v>
      </c>
    </row>
    <row r="1365">
      <c r="A1365" s="5" t="s">
        <v>4092</v>
      </c>
      <c r="B1365" s="6" t="s">
        <v>4093</v>
      </c>
      <c r="C1365" s="5" t="s">
        <v>7</v>
      </c>
      <c r="D1365" s="5" t="s">
        <v>4094</v>
      </c>
      <c r="E1365" s="3" t="str">
        <f>IFERROR(__xludf.DUMMYFUNCTION("GOOGLETRANSLATE(D1365, ""en"", ""zh-tw"")"),"1. 這個專案需要付出巨大的努力。 2. 她感到如釋重負。")</f>
        <v>1. 這個專案需要付出巨大的努力。 2. 她感到如釋重負。</v>
      </c>
    </row>
    <row r="1366">
      <c r="A1366" s="5" t="s">
        <v>4095</v>
      </c>
      <c r="B1366" s="6" t="s">
        <v>4096</v>
      </c>
      <c r="C1366" s="5" t="s">
        <v>7</v>
      </c>
      <c r="D1366" s="5" t="s">
        <v>4097</v>
      </c>
      <c r="E1366" s="3" t="str">
        <f>IFERROR(__xludf.DUMMYFUNCTION("GOOGLETRANSLATE(D1366, ""en"", ""zh-tw"")"),"1. 她正在參加密集英語課程。 2. 培訓強度非常大。")</f>
        <v>1. 她正在參加密集英語課程。 2. 培訓強度非常大。</v>
      </c>
    </row>
    <row r="1367">
      <c r="A1367" s="5" t="s">
        <v>4098</v>
      </c>
      <c r="B1367" s="6" t="s">
        <v>4099</v>
      </c>
      <c r="C1367" s="5" t="s">
        <v>17</v>
      </c>
      <c r="D1367" s="5" t="s">
        <v>4100</v>
      </c>
      <c r="E1367" s="3" t="str">
        <f>IFERROR(__xludf.DUMMYFUNCTION("GOOGLETRANSLATE(D1367, ""en"", ""zh-tw"")"),"1. 這座紀念碑是為了紀念士兵而建。 2. 這座城市以其古代遺跡而聞名。")</f>
        <v>1. 這座紀念碑是為了紀念士兵而建。 2. 這座城市以其古代遺跡而聞名。</v>
      </c>
    </row>
    <row r="1368">
      <c r="A1368" s="5" t="s">
        <v>4101</v>
      </c>
      <c r="B1368" s="6" t="s">
        <v>4102</v>
      </c>
      <c r="C1368" s="5" t="s">
        <v>7</v>
      </c>
      <c r="D1368" s="5" t="s">
        <v>4103</v>
      </c>
      <c r="E1368" s="3" t="str">
        <f>IFERROR(__xludf.DUMMYFUNCTION("GOOGLETRANSLATE(D1368, ""en"", ""zh-tw"")"),"1. 這份報告揭露了重要資訊。 2. 她拒絕透露自己的身分。")</f>
        <v>1. 這份報告揭露了重要資訊。 2. 她拒絕透露自己的身分。</v>
      </c>
    </row>
    <row r="1369">
      <c r="A1369" s="5" t="s">
        <v>4104</v>
      </c>
      <c r="B1369" s="6" t="s">
        <v>4105</v>
      </c>
      <c r="C1369" s="5" t="s">
        <v>7</v>
      </c>
      <c r="D1369" s="5" t="s">
        <v>4106</v>
      </c>
      <c r="E1369" s="3" t="str">
        <f>IFERROR(__xludf.DUMMYFUNCTION("GOOGLETRANSLATE(D1369, ""en"", ""zh-tw"")"),"1. 在我看來，這個計劃很冒險。 2. 試著從不同的角度看待這個問題。")</f>
        <v>1. 在我看來，這個計劃很冒險。 2. 試著從不同的角度看待這個問題。</v>
      </c>
    </row>
    <row r="1370">
      <c r="A1370" s="5" t="s">
        <v>4107</v>
      </c>
      <c r="B1370" s="6" t="s">
        <v>4108</v>
      </c>
      <c r="C1370" s="5" t="s">
        <v>7</v>
      </c>
      <c r="D1370" s="5" t="s">
        <v>4109</v>
      </c>
      <c r="E1370" s="3" t="str">
        <f>IFERROR(__xludf.DUMMYFUNCTION("GOOGLETRANSLATE(D1370, ""en"", ""zh-tw"")"),"1. 湖面完美地倒映著山脈。 2. 經過深思熟慮，他決定辭職。")</f>
        <v>1. 湖面完美地倒映著山脈。 2. 經過深思熟慮，他決定辭職。</v>
      </c>
    </row>
    <row r="1371">
      <c r="A1371" s="5" t="s">
        <v>4110</v>
      </c>
      <c r="B1371" s="6" t="s">
        <v>4111</v>
      </c>
      <c r="C1371" s="5" t="s">
        <v>17</v>
      </c>
      <c r="D1371" s="5" t="s">
        <v>4112</v>
      </c>
      <c r="E1371" s="3" t="str">
        <f>IFERROR(__xludf.DUMMYFUNCTION("GOOGLETRANSLATE(D1371, ""en"", ""zh-tw"")"),"1. 我們搭乘遊輪去了日本。 2. 汽車沿著高速公路行駛。")</f>
        <v>1. 我們搭乘遊輪去了日本。 2. 汽車沿著高速公路行駛。</v>
      </c>
    </row>
    <row r="1372">
      <c r="A1372" s="5" t="s">
        <v>4113</v>
      </c>
      <c r="B1372" s="6" t="s">
        <v>4114</v>
      </c>
      <c r="C1372" s="5" t="s">
        <v>7</v>
      </c>
      <c r="D1372" s="5" t="s">
        <v>4115</v>
      </c>
      <c r="E1372" s="3" t="str">
        <f>IFERROR(__xludf.DUMMYFUNCTION("GOOGLETRANSLATE(D1372, ""en"", ""zh-tw"")"),"1. 由於天氣惡劣，航班延誤了。 2. 由於資金不足，該項目被取消了。")</f>
        <v>1. 由於天氣惡劣，航班延誤了。 2. 由於資金不足，該項目被取消了。</v>
      </c>
    </row>
    <row r="1373">
      <c r="A1373" s="5" t="s">
        <v>4116</v>
      </c>
      <c r="B1373" s="6" t="s">
        <v>4117</v>
      </c>
      <c r="C1373" s="5" t="s">
        <v>7</v>
      </c>
      <c r="D1373" s="5" t="s">
        <v>4118</v>
      </c>
      <c r="E1373" s="3" t="str">
        <f>IFERROR(__xludf.DUMMYFUNCTION("GOOGLETRANSLATE(D1373, ""en"", ""zh-tw"")"),"1. 除了英語，他還會說日語。 2. 除了少數錯誤，這份報告寫得很好。")</f>
        <v>1. 除了英語，他還會說日語。 2. 除了少數錯誤，這份報告寫得很好。</v>
      </c>
    </row>
    <row r="1374">
      <c r="A1374" s="5" t="s">
        <v>4119</v>
      </c>
      <c r="B1374" s="6" t="s">
        <v>4120</v>
      </c>
      <c r="C1374" s="5" t="s">
        <v>279</v>
      </c>
      <c r="D1374" s="5" t="s">
        <v>4121</v>
      </c>
      <c r="E1374" s="3" t="str">
        <f>IFERROR(__xludf.DUMMYFUNCTION("GOOGLETRANSLATE(D1374, ""en"", ""zh-tw"")"),"1. 公司正在重新評估其業務策略。 2. 她正在重新評估自己的職業目標。")</f>
        <v>1. 公司正在重新評估其業務策略。 2. 她正在重新評估自己的職業目標。</v>
      </c>
    </row>
    <row r="1375">
      <c r="A1375" s="5" t="s">
        <v>4122</v>
      </c>
      <c r="B1375" s="6" t="s">
        <v>4123</v>
      </c>
      <c r="C1375" s="5" t="s">
        <v>7</v>
      </c>
      <c r="D1375" s="5" t="s">
        <v>4124</v>
      </c>
      <c r="E1375" s="3" t="str">
        <f>IFERROR(__xludf.DUMMYFUNCTION("GOOGLETRANSLATE(D1375, ""en"", ""zh-tw"")"),"1. 大多數員工投票贊成這項新政策。 2. 這項決定對公司有利。")</f>
        <v>1. 大多數員工投票贊成這項新政策。 2. 這項決定對公司有利。</v>
      </c>
    </row>
    <row r="1376">
      <c r="A1376" s="5" t="s">
        <v>4125</v>
      </c>
      <c r="B1376" s="6" t="s">
        <v>4126</v>
      </c>
      <c r="C1376" s="5" t="s">
        <v>7</v>
      </c>
      <c r="D1376" s="5" t="s">
        <v>4127</v>
      </c>
      <c r="E1376" s="3" t="str">
        <f>IFERROR(__xludf.DUMMYFUNCTION("GOOGLETRANSLATE(D1376, ""en"", ""zh-tw"")"),"1. 他具備卓越的領導能力。 2. 公司擁有寶貴的資源。")</f>
        <v>1. 他具備卓越的領導能力。 2. 公司擁有寶貴的資源。</v>
      </c>
    </row>
    <row r="1377">
      <c r="A1377" s="5" t="s">
        <v>4128</v>
      </c>
      <c r="B1377" s="6" t="s">
        <v>4129</v>
      </c>
      <c r="C1377" s="5" t="s">
        <v>7</v>
      </c>
      <c r="D1377" s="5" t="s">
        <v>4130</v>
      </c>
      <c r="E1377" s="3" t="str">
        <f>IFERROR(__xludf.DUMMYFUNCTION("GOOGLETRANSLATE(D1377, ""en"", ""zh-tw"")"),"1. 她智商很高，學習能力很強。 2. 該機構收集有關威脅的情報。")</f>
        <v>1. 她智商很高，學習能力很強。 2. 該機構收集有關威脅的情報。</v>
      </c>
    </row>
    <row r="1378">
      <c r="A1378" s="5" t="s">
        <v>4131</v>
      </c>
      <c r="B1378" s="6" t="s">
        <v>4132</v>
      </c>
      <c r="C1378" s="5" t="s">
        <v>7</v>
      </c>
      <c r="D1378" s="5" t="s">
        <v>4133</v>
      </c>
      <c r="E1378" s="3" t="str">
        <f>IFERROR(__xludf.DUMMYFUNCTION("GOOGLETRANSLATE(D1378, ""en"", ""zh-tw"")"),"1. 沒有證據支持這項說法。 2. 警方蒐集到了重要證據。")</f>
        <v>1. 沒有證據支持這項說法。 2. 警方蒐集到了重要證據。</v>
      </c>
    </row>
    <row r="1379">
      <c r="A1379" s="5" t="s">
        <v>4134</v>
      </c>
      <c r="B1379" s="6" t="s">
        <v>4135</v>
      </c>
      <c r="C1379" s="5" t="s">
        <v>7</v>
      </c>
      <c r="D1379" s="5" t="s">
        <v>4136</v>
      </c>
      <c r="E1379" s="3" t="str">
        <f>IFERROR(__xludf.DUMMYFUNCTION("GOOGLETRANSLATE(D1379, ""en"", ""zh-tw"")"),"本區域禁止吸煙。")</f>
        <v>本區域禁止吸煙。</v>
      </c>
    </row>
    <row r="1380">
      <c r="A1380" s="5" t="s">
        <v>4137</v>
      </c>
      <c r="B1380" s="6" t="s">
        <v>4138</v>
      </c>
      <c r="C1380" s="5" t="s">
        <v>7</v>
      </c>
      <c r="D1380" s="5" t="s">
        <v>4139</v>
      </c>
      <c r="E1380" s="3" t="str">
        <f>IFERROR(__xludf.DUMMYFUNCTION("GOOGLETRANSLATE(D1380, ""en"", ""zh-tw"")"),"1. 他因超速被罰款。 2. 球隊透過點球得分。")</f>
        <v>1. 他因超速被罰款。 2. 球隊透過點球得分。</v>
      </c>
    </row>
    <row r="1381">
      <c r="A1381" s="5" t="s">
        <v>4140</v>
      </c>
      <c r="B1381" s="6" t="s">
        <v>4141</v>
      </c>
      <c r="C1381" s="5" t="s">
        <v>7</v>
      </c>
      <c r="D1381" s="5" t="s">
        <v>4142</v>
      </c>
      <c r="E1381" s="3" t="str">
        <f>IFERROR(__xludf.DUMMYFUNCTION("GOOGLETRANSLATE(D1381, ""en"", ""zh-tw"")"),"1. 該市改善了衛生系統。 2. 衛生條件差會導致疾病。")</f>
        <v>1. 該市改善了衛生系統。 2. 衛生條件差會導致疾病。</v>
      </c>
    </row>
    <row r="1382">
      <c r="A1382" s="5" t="s">
        <v>4143</v>
      </c>
      <c r="B1382" s="6" t="s">
        <v>4144</v>
      </c>
      <c r="C1382" s="5" t="s">
        <v>17</v>
      </c>
      <c r="D1382" s="5" t="s">
        <v>4145</v>
      </c>
      <c r="E1382" s="3" t="str">
        <f>IFERROR(__xludf.DUMMYFUNCTION("GOOGLETRANSLATE(D1382, ""en"", ""zh-tw"")"),"1. 機組人員準備起飛。 2. 攝影組清晨就到了。")</f>
        <v>1. 機組人員準備起飛。 2. 攝影組清晨就到了。</v>
      </c>
    </row>
    <row r="1383">
      <c r="A1383" s="5" t="s">
        <v>4146</v>
      </c>
      <c r="B1383" s="6" t="s">
        <v>4147</v>
      </c>
      <c r="C1383" s="5" t="s">
        <v>7</v>
      </c>
      <c r="D1383" s="5" t="s">
        <v>4148</v>
      </c>
      <c r="E1383" s="3" t="str">
        <f>IFERROR(__xludf.DUMMYFUNCTION("GOOGLETRANSLATE(D1383, ""en"", ""zh-tw"")"),"1. 由於施工，道路封閉。 2. 整條道路都被積雪覆蓋。")</f>
        <v>1. 由於施工，道路封閉。 2. 整條道路都被積雪覆蓋。</v>
      </c>
    </row>
    <row r="1384">
      <c r="A1384" s="5" t="s">
        <v>4149</v>
      </c>
      <c r="B1384" s="6" t="s">
        <v>4150</v>
      </c>
      <c r="C1384" s="5" t="s">
        <v>7</v>
      </c>
      <c r="D1384" s="5" t="s">
        <v>4151</v>
      </c>
      <c r="E1384" s="3" t="str">
        <f>IFERROR(__xludf.DUMMYFUNCTION("GOOGLETRANSLATE(D1384, ""en"", ""zh-tw"")"),"1. 該合約有效期為五年。 2. 我們質疑他的論點是否成立。")</f>
        <v>1. 該合約有效期為五年。 2. 我們質疑他的論點是否成立。</v>
      </c>
    </row>
    <row r="1385">
      <c r="A1385" s="5" t="s">
        <v>4152</v>
      </c>
      <c r="B1385" s="6" t="s">
        <v>4153</v>
      </c>
      <c r="C1385" s="5" t="s">
        <v>7</v>
      </c>
      <c r="D1385" s="5" t="s">
        <v>4154</v>
      </c>
      <c r="E1385" s="3" t="str">
        <f>IFERROR(__xludf.DUMMYFUNCTION("GOOGLETRANSLATE(D1385, ""en"", ""zh-tw"")"),"警方將車拖走了。")</f>
        <v>警方將車拖走了。</v>
      </c>
    </row>
    <row r="1386">
      <c r="A1386" s="5" t="s">
        <v>4155</v>
      </c>
      <c r="B1386" s="6" t="s">
        <v>4156</v>
      </c>
      <c r="C1386" s="5" t="s">
        <v>279</v>
      </c>
      <c r="D1386" s="5" t="s">
        <v>4157</v>
      </c>
      <c r="E1386" s="3" t="str">
        <f>IFERROR(__xludf.DUMMYFUNCTION("GOOGLETRANSLATE(D1386, ""en"", ""zh-tw"")"),"1. 她因表現優異而獲獎。 2. 該公司擁有卓越的安全記錄。")</f>
        <v>1. 她因表現優異而獲獎。 2. 該公司擁有卓越的安全記錄。</v>
      </c>
    </row>
    <row r="1387">
      <c r="A1387" s="5" t="s">
        <v>4158</v>
      </c>
      <c r="B1387" s="6" t="s">
        <v>4159</v>
      </c>
      <c r="C1387" s="5" t="s">
        <v>7</v>
      </c>
      <c r="D1387" s="5" t="s">
        <v>4160</v>
      </c>
      <c r="E1387" s="3" t="str">
        <f>IFERROR(__xludf.DUMMYFUNCTION("GOOGLETRANSLATE(D1387, ""en"", ""zh-tw"")"),"1. 事故及後續調查導致項目延期。 2. 後續事件證實了我們的決定。")</f>
        <v>1. 事故及後續調查導致項目延期。 2. 後續事件證實了我們的決定。</v>
      </c>
    </row>
    <row r="1388">
      <c r="A1388" s="5" t="s">
        <v>4161</v>
      </c>
      <c r="B1388" s="6" t="s">
        <v>4162</v>
      </c>
      <c r="C1388" s="5" t="s">
        <v>279</v>
      </c>
      <c r="D1388" s="5" t="s">
        <v>4163</v>
      </c>
      <c r="E1388" s="3" t="str">
        <f>IFERROR(__xludf.DUMMYFUNCTION("GOOGLETRANSLATE(D1388, ""en"", ""zh-tw"")"),"1. 這起事故是由於疏忽造成的。 2. 該公司因醫療事故被起訴。")</f>
        <v>1. 這起事故是由於疏忽造成的。 2. 該公司因醫療事故被起訴。</v>
      </c>
    </row>
    <row r="1389">
      <c r="A1389" s="5" t="s">
        <v>4164</v>
      </c>
      <c r="B1389" s="6" t="s">
        <v>4165</v>
      </c>
      <c r="C1389" s="5" t="s">
        <v>7</v>
      </c>
      <c r="D1389" s="5" t="s">
        <v>4166</v>
      </c>
      <c r="E1389" s="3" t="str">
        <f>IFERROR(__xludf.DUMMYFUNCTION("GOOGLETRANSLATE(D1389, ""en"", ""zh-tw"")"),"1. 該工人因違反規定而被停職。 2. 工程暫停導致了延誤。")</f>
        <v>1. 該工人因違反規定而被停職。 2. 工程暫停導致了延誤。</v>
      </c>
    </row>
    <row r="1390">
      <c r="A1390" s="5" t="s">
        <v>4167</v>
      </c>
      <c r="B1390" s="6" t="s">
        <v>4168</v>
      </c>
      <c r="C1390" s="5" t="s">
        <v>7</v>
      </c>
      <c r="D1390" s="5" t="s">
        <v>4169</v>
      </c>
      <c r="E1390" s="3" t="str">
        <f>IFERROR(__xludf.DUMMYFUNCTION("GOOGLETRANSLATE(D1390, ""en"", ""zh-tw"")"),"1. 他更新了駕駛執照。 2. 該公司已獲得銷售該產品的許可。")</f>
        <v>1. 他更新了駕駛執照。 2. 該公司已獲得銷售該產品的許可。</v>
      </c>
    </row>
    <row r="1391">
      <c r="A1391" s="5" t="s">
        <v>4170</v>
      </c>
      <c r="B1391" s="6" t="s">
        <v>4171</v>
      </c>
      <c r="C1391" s="5" t="s">
        <v>7</v>
      </c>
      <c r="D1391" s="5" t="s">
        <v>4172</v>
      </c>
      <c r="E1391" s="3" t="str">
        <f>IFERROR(__xludf.DUMMYFUNCTION("GOOGLETRANSLATE(D1391, ""en"", ""zh-tw"")"),"這家商店冬季服裝大幅降價。")</f>
        <v>這家商店冬季服裝大幅降價。</v>
      </c>
    </row>
    <row r="1392">
      <c r="A1392" s="5" t="s">
        <v>4173</v>
      </c>
      <c r="B1392" s="6" t="s">
        <v>4174</v>
      </c>
      <c r="C1392" s="5" t="s">
        <v>7</v>
      </c>
      <c r="D1392" s="5" t="s">
        <v>4175</v>
      </c>
      <c r="E1392" s="3" t="str">
        <f>IFERROR(__xludf.DUMMYFUNCTION("GOOGLETRANSLATE(D1392, ""en"", ""zh-tw"")"),"1. 競爭非常激烈。 2. 她在工作中感到壓力很大。")</f>
        <v>1. 競爭非常激烈。 2. 她在工作中感到壓力很大。</v>
      </c>
    </row>
    <row r="1393">
      <c r="A1393" s="5" t="s">
        <v>4176</v>
      </c>
      <c r="B1393" s="6" t="s">
        <v>4177</v>
      </c>
      <c r="C1393" s="5" t="s">
        <v>17</v>
      </c>
      <c r="D1393" s="5" t="s">
        <v>4178</v>
      </c>
      <c r="E1393" s="3" t="str">
        <f>IFERROR(__xludf.DUMMYFUNCTION("GOOGLETRANSLATE(D1393, ""en"", ""zh-tw"")"),"1. 我很幸運能得到這份工作。 2. 幸好沒有人受傷。")</f>
        <v>1. 我很幸運能得到這份工作。 2. 幸好沒有人受傷。</v>
      </c>
    </row>
    <row r="1394">
      <c r="A1394" s="5" t="s">
        <v>4179</v>
      </c>
      <c r="B1394" s="6" t="s">
        <v>4180</v>
      </c>
      <c r="C1394" s="5" t="s">
        <v>7</v>
      </c>
      <c r="D1394" s="5" t="s">
        <v>4181</v>
      </c>
      <c r="E1394" s="3" t="str">
        <f>IFERROR(__xludf.DUMMYFUNCTION("GOOGLETRANSLATE(D1394, ""en"", ""zh-tw"")"),"1. 這家飯店去年進行了全面翻新。 2. 該公司計劃對其網站進行改版。")</f>
        <v>1. 這家飯店去年進行了全面翻新。 2. 該公司計劃對其網站進行改版。</v>
      </c>
    </row>
    <row r="1395">
      <c r="A1395" s="5" t="s">
        <v>4182</v>
      </c>
      <c r="B1395" s="6" t="s">
        <v>4183</v>
      </c>
      <c r="C1395" s="5" t="s">
        <v>7</v>
      </c>
      <c r="D1395" s="5" t="s">
        <v>4184</v>
      </c>
      <c r="E1395" s="3" t="str">
        <f>IFERROR(__xludf.DUMMYFUNCTION("GOOGLETRANSLATE(D1395, ""en"", ""zh-tw"")"),"1. 這輛車的內裝很豪華。 2. 車內牆壁漆成了白色。")</f>
        <v>1. 這輛車的內裝很豪華。 2. 車內牆壁漆成了白色。</v>
      </c>
    </row>
    <row r="1396">
      <c r="A1396" s="5" t="s">
        <v>4185</v>
      </c>
      <c r="B1396" s="6" t="s">
        <v>4186</v>
      </c>
      <c r="C1396" s="5" t="s">
        <v>17</v>
      </c>
      <c r="D1396" s="5" t="s">
        <v>4187</v>
      </c>
      <c r="E1396" s="3" t="str">
        <f>IFERROR(__xludf.DUMMYFUNCTION("GOOGLETRANSLATE(D1396, ""en"", ""zh-tw"")"),"1. 書堆放在桌上。 2. 除了薪水，員工還能拿到獎金。 3. 她對自己的工作安排瞭如指掌。")</f>
        <v>1. 書堆放在桌上。 2. 除了薪水，員工還能拿到獎金。 3. 她對自己的工作安排瞭如指掌。</v>
      </c>
    </row>
    <row r="1397">
      <c r="A1397" s="5" t="s">
        <v>4188</v>
      </c>
      <c r="B1397" s="6" t="s">
        <v>4189</v>
      </c>
      <c r="C1397" s="5" t="s">
        <v>7</v>
      </c>
      <c r="D1397" s="5" t="s">
        <v>4190</v>
      </c>
      <c r="E1397" s="3" t="str">
        <f>IFERROR(__xludf.DUMMYFUNCTION("GOOGLETRANSLATE(D1397, ""en"", ""zh-tw"")"),"1. 該公司拒絕透露財務細節。 2. 他向警方透露了自己的身分。")</f>
        <v>1. 該公司拒絕透露財務細節。 2. 他向警方透露了自己的身分。</v>
      </c>
    </row>
    <row r="1398">
      <c r="A1398" s="5" t="s">
        <v>4191</v>
      </c>
      <c r="B1398" s="6" t="s">
        <v>4192</v>
      </c>
      <c r="C1398" s="5" t="s">
        <v>17</v>
      </c>
      <c r="D1398" s="5" t="s">
        <v>4193</v>
      </c>
      <c r="E1398" s="3" t="str">
        <f>IFERROR(__xludf.DUMMYFUNCTION("GOOGLETRANSLATE(D1398, ""en"", ""zh-tw"")"),"1. 噪音會分散學生的注意力，影響學習。 2. 我工作時請不要打擾我。")</f>
        <v>1. 噪音會分散學生的注意力，影響學習。 2. 我工作時請不要打擾我。</v>
      </c>
    </row>
    <row r="1399">
      <c r="A1399" s="5" t="s">
        <v>4194</v>
      </c>
      <c r="B1399" s="6" t="s">
        <v>4195</v>
      </c>
      <c r="C1399" s="5" t="s">
        <v>7</v>
      </c>
      <c r="D1399" s="5" t="s">
        <v>4196</v>
      </c>
      <c r="E1399" s="3" t="str">
        <f>IFERROR(__xludf.DUMMYFUNCTION("GOOGLETRANSLATE(D1399, ""en"", ""zh-tw"")"),"1. 請繼續進行下一步。 2. 休息結束後，我們將繼續開會。")</f>
        <v>1. 請繼續進行下一步。 2. 休息結束後，我們將繼續開會。</v>
      </c>
    </row>
    <row r="1400">
      <c r="A1400" s="5" t="s">
        <v>4197</v>
      </c>
      <c r="B1400" s="6" t="s">
        <v>4198</v>
      </c>
      <c r="C1400" s="5" t="s">
        <v>279</v>
      </c>
      <c r="D1400" s="5" t="s">
        <v>4199</v>
      </c>
      <c r="E1400" s="3" t="str">
        <f>IFERROR(__xludf.DUMMYFUNCTION("GOOGLETRANSLATE(D1400, ""en"", ""zh-tw"")"),"1. 許多英語單字源自拉丁文。 2. 該公司的大部分收入來自出口。")</f>
        <v>1. 許多英語單字源自拉丁文。 2. 該公司的大部分收入來自出口。</v>
      </c>
    </row>
    <row r="1401">
      <c r="A1401" s="5" t="s">
        <v>4200</v>
      </c>
      <c r="B1401" s="6" t="s">
        <v>4201</v>
      </c>
      <c r="C1401" s="5" t="s">
        <v>7</v>
      </c>
      <c r="D1401" s="5" t="s">
        <v>4202</v>
      </c>
      <c r="E1401" s="3" t="str">
        <f>IFERROR(__xludf.DUMMYFUNCTION("GOOGLETRANSLATE(D1401, ""en"", ""zh-tw"")"),"1. 我們入住的是豪華飯店客房。 2. 套餐包含一頓豪華餐食。")</f>
        <v>1. 我們入住的是豪華飯店客房。 2. 套餐包含一頓豪華餐食。</v>
      </c>
    </row>
    <row r="1402">
      <c r="A1402" s="5" t="s">
        <v>4203</v>
      </c>
      <c r="B1402" s="6" t="s">
        <v>4204</v>
      </c>
      <c r="C1402" s="5" t="s">
        <v>7</v>
      </c>
      <c r="D1402" s="5" t="s">
        <v>4205</v>
      </c>
      <c r="E1402" s="3" t="str">
        <f>IFERROR(__xludf.DUMMYFUNCTION("GOOGLETRANSLATE(D1402, ""en"", ""zh-tw"")"),"1. 該網路覆蓋全國。 2. 此保險提供全面的醫療保障。 3. 該事件獲得了廣泛的媒體報道。")</f>
        <v>1. 該網路覆蓋全國。 2. 此保險提供全面的醫療保障。 3. 該事件獲得了廣泛的媒體報道。</v>
      </c>
    </row>
    <row r="1403">
      <c r="A1403" s="5" t="s">
        <v>4206</v>
      </c>
      <c r="B1403" s="6" t="s">
        <v>4207</v>
      </c>
      <c r="C1403" s="5" t="s">
        <v>7</v>
      </c>
      <c r="D1403" s="5" t="s">
        <v>4208</v>
      </c>
      <c r="E1403" s="3" t="str">
        <f>IFERROR(__xludf.DUMMYFUNCTION("GOOGLETRANSLATE(D1403, ""en"", ""zh-tw"")"),"1. 這份文件正在修改中。 2. 她正在複習考試。")</f>
        <v>1. 這份文件正在修改中。 2. 她正在複習考試。</v>
      </c>
    </row>
    <row r="1404">
      <c r="A1404" s="5" t="s">
        <v>4209</v>
      </c>
      <c r="B1404" s="6" t="s">
        <v>4210</v>
      </c>
      <c r="C1404" s="5" t="s">
        <v>7</v>
      </c>
      <c r="D1404" s="5" t="s">
        <v>4211</v>
      </c>
      <c r="E1404" s="3" t="str">
        <f>IFERROR(__xludf.DUMMYFUNCTION("GOOGLETRANSLATE(D1404, ""en"", ""zh-tw"")"),"1. 這種玻璃具有很高的透明度。 2. 該公司提倡營運透明化。")</f>
        <v>1. 這種玻璃具有很高的透明度。 2. 該公司提倡營運透明化。</v>
      </c>
    </row>
    <row r="1405">
      <c r="A1405" s="5" t="s">
        <v>4212</v>
      </c>
      <c r="B1405" s="6" t="s">
        <v>4213</v>
      </c>
      <c r="C1405" s="5" t="s">
        <v>7</v>
      </c>
      <c r="D1405" s="5" t="s">
        <v>4214</v>
      </c>
      <c r="E1405" s="3" t="str">
        <f>IFERROR(__xludf.DUMMYFUNCTION("GOOGLETRANSLATE(D1405, ""en"", ""zh-tw"")"),"1. 紅燈表示危險。 2. 這個符號代表什麼？")</f>
        <v>1. 紅燈表示危險。 2. 這個符號代表什麼？</v>
      </c>
    </row>
    <row r="1406">
      <c r="A1406" s="5" t="s">
        <v>4215</v>
      </c>
      <c r="B1406" s="6" t="s">
        <v>4216</v>
      </c>
      <c r="C1406" s="5" t="s">
        <v>7</v>
      </c>
      <c r="D1406" s="5" t="s">
        <v>4217</v>
      </c>
      <c r="E1406" s="3" t="str">
        <f>IFERROR(__xludf.DUMMYFUNCTION("GOOGLETRANSLATE(D1406, ""en"", ""zh-tw"")"),"1. 我們同意合約條款。 2. 這些條款在文件中已有明確說明。")</f>
        <v>1. 我們同意合約條款。 2. 這些條款在文件中已有明確說明。</v>
      </c>
    </row>
    <row r="1407">
      <c r="A1407" s="5" t="s">
        <v>4218</v>
      </c>
      <c r="B1407" s="6" t="s">
        <v>4219</v>
      </c>
      <c r="C1407" s="5" t="s">
        <v>7</v>
      </c>
      <c r="D1407" s="5" t="s">
        <v>4220</v>
      </c>
      <c r="E1407" s="3" t="str">
        <f>IFERROR(__xludf.DUMMYFUNCTION("GOOGLETRANSLATE(D1407, ""en"", ""zh-tw"")"),"1. 汽車愛好者聚集在活動現場。 2. 攝影愛好者經常在網路上分享技巧。")</f>
        <v>1. 汽車愛好者聚集在活動現場。 2. 攝影愛好者經常在網路上分享技巧。</v>
      </c>
    </row>
    <row r="1408">
      <c r="A1408" s="5" t="s">
        <v>4221</v>
      </c>
      <c r="B1408" s="6" t="s">
        <v>4222</v>
      </c>
      <c r="C1408" s="5" t="s">
        <v>17</v>
      </c>
      <c r="D1408" s="5" t="s">
        <v>4223</v>
      </c>
      <c r="E1408" s="3" t="str">
        <f>IFERROR(__xludf.DUMMYFUNCTION("GOOGLETRANSLATE(D1408, ""en"", ""zh-tw"")"),"1. 電腦硬體需要升級。 2. 你可以在五金行購買工具。")</f>
        <v>1. 電腦硬體需要升級。 2. 你可以在五金行購買工具。</v>
      </c>
    </row>
    <row r="1409">
      <c r="A1409" s="5" t="s">
        <v>4224</v>
      </c>
      <c r="B1409" s="6" t="s">
        <v>4225</v>
      </c>
      <c r="C1409" s="5" t="s">
        <v>7</v>
      </c>
      <c r="D1409" s="5" t="s">
        <v>4226</v>
      </c>
      <c r="E1409" s="3" t="str">
        <f>IFERROR(__xludf.DUMMYFUNCTION("GOOGLETRANSLATE(D1409, ""en"", ""zh-tw"")"),"這款椅子採用人體工學設計。")</f>
        <v>這款椅子採用人體工學設計。</v>
      </c>
    </row>
    <row r="1410">
      <c r="A1410" s="5" t="s">
        <v>4227</v>
      </c>
      <c r="B1410" s="6" t="s">
        <v>4228</v>
      </c>
      <c r="C1410" s="5" t="s">
        <v>279</v>
      </c>
      <c r="D1410" s="5" t="s">
        <v>4229</v>
      </c>
      <c r="E1410" s="3" t="str">
        <f>IFERROR(__xludf.DUMMYFUNCTION("GOOGLETRANSLATE(D1410, ""en"", ""zh-tw"")"),"1. 醫院進行了診斷測試。 2. 軟體包含一個診斷工具。")</f>
        <v>1. 醫院進行了診斷測試。 2. 軟體包含一個診斷工具。</v>
      </c>
    </row>
    <row r="1411">
      <c r="A1411" s="5" t="s">
        <v>4230</v>
      </c>
      <c r="B1411" s="6" t="s">
        <v>4231</v>
      </c>
      <c r="C1411" s="5" t="s">
        <v>7</v>
      </c>
      <c r="D1411" s="5" t="s">
        <v>4232</v>
      </c>
      <c r="E1411" s="3" t="str">
        <f>IFERROR(__xludf.DUMMYFUNCTION("GOOGLETRANSLATE(D1411, ""en"", ""zh-tw"")"),"1. 工廠關閉影響了許多工人。 2. 道路封閉造成了交通阻塞。")</f>
        <v>1. 工廠關閉影響了許多工人。 2. 道路封閉造成了交通阻塞。</v>
      </c>
    </row>
    <row r="1412">
      <c r="A1412" s="5" t="s">
        <v>4233</v>
      </c>
      <c r="B1412" s="6" t="s">
        <v>4234</v>
      </c>
      <c r="C1412" s="5" t="s">
        <v>17</v>
      </c>
      <c r="D1412" s="5" t="s">
        <v>4235</v>
      </c>
      <c r="E1412" s="3" t="str">
        <f>IFERROR(__xludf.DUMMYFUNCTION("GOOGLETRANSLATE(D1412, ""en"", ""zh-tw"")"),"樓上是辦公區域。")</f>
        <v>樓上是辦公區域。</v>
      </c>
    </row>
    <row r="1413">
      <c r="A1413" s="5" t="s">
        <v>4236</v>
      </c>
      <c r="B1413" s="6" t="s">
        <v>4237</v>
      </c>
      <c r="C1413" s="5" t="s">
        <v>7</v>
      </c>
      <c r="D1413" s="5" t="s">
        <v>4238</v>
      </c>
      <c r="E1413" s="3" t="str">
        <f>IFERROR(__xludf.DUMMYFUNCTION("GOOGLETRANSLATE(D1413, ""en"", ""zh-tw"")"),"1. 公司發布了新產品。 2. 雕像在儀式上揭幕。")</f>
        <v>1. 公司發布了新產品。 2. 雕像在儀式上揭幕。</v>
      </c>
    </row>
    <row r="1414">
      <c r="A1414" s="5" t="s">
        <v>4239</v>
      </c>
      <c r="B1414" s="6" t="s">
        <v>4240</v>
      </c>
      <c r="C1414" s="5" t="s">
        <v>7</v>
      </c>
      <c r="D1414" s="5" t="s">
        <v>4241</v>
      </c>
      <c r="E1414" s="3" t="str">
        <f>IFERROR(__xludf.DUMMYFUNCTION("GOOGLETRANSLATE(D1414, ""en"", ""zh-tw"")"),"1. 該合約每年都需要續約。 2. 該市正處於更新換代期。")</f>
        <v>1. 該合約每年都需要續約。 2. 該市正處於更新換代期。</v>
      </c>
    </row>
    <row r="1415">
      <c r="A1415" s="5" t="s">
        <v>4242</v>
      </c>
      <c r="B1415" s="6" t="s">
        <v>4243</v>
      </c>
      <c r="C1415" s="5" t="s">
        <v>279</v>
      </c>
      <c r="D1415" s="5" t="s">
        <v>4244</v>
      </c>
      <c r="E1415" s="3" t="str">
        <f>IFERROR(__xludf.DUMMYFUNCTION("GOOGLETRANSLATE(D1415, ""en"", ""zh-tw"")"),"1. 她畢業於一所著名大學。 2. 該獎項在業界享有極高的聲譽。")</f>
        <v>1. 她畢業於一所著名大學。 2. 該獎項在業界享有極高的聲譽。</v>
      </c>
    </row>
    <row r="1416">
      <c r="A1416" s="5" t="s">
        <v>4245</v>
      </c>
      <c r="B1416" s="6" t="s">
        <v>4246</v>
      </c>
      <c r="C1416" s="5" t="s">
        <v>17</v>
      </c>
      <c r="D1416" s="5" t="s">
        <v>4247</v>
      </c>
      <c r="E1416" s="3" t="str">
        <f>IFERROR(__xludf.DUMMYFUNCTION("GOOGLETRANSLATE(D1416, ""en"", ""zh-tw"")"),"1. 我烤了一條酸麵包。 2. 酸麵團賦予麵包一種獨特的酸味。")</f>
        <v>1. 我烤了一條酸麵包。 2. 酸麵團賦予麵包一種獨特的酸味。</v>
      </c>
    </row>
    <row r="1417">
      <c r="A1417" s="5" t="s">
        <v>4248</v>
      </c>
      <c r="B1417" s="6" t="s">
        <v>4249</v>
      </c>
      <c r="C1417" s="5" t="s">
        <v>7</v>
      </c>
      <c r="D1417" s="5" t="s">
        <v>4250</v>
      </c>
      <c r="E1417" s="3" t="str">
        <f>IFERROR(__xludf.DUMMYFUNCTION("GOOGLETRANSLATE(D1417, ""en"", ""zh-tw"")"),"1. 政府推出了一項新的住房計畫。 2. 他們密謀增加利潤。")</f>
        <v>1. 政府推出了一項新的住房計畫。 2. 他們密謀增加利潤。</v>
      </c>
    </row>
    <row r="1418">
      <c r="A1418" s="5" t="s">
        <v>4251</v>
      </c>
      <c r="B1418" s="6" t="s">
        <v>4252</v>
      </c>
      <c r="C1418" s="5" t="s">
        <v>7</v>
      </c>
      <c r="D1418" s="5" t="s">
        <v>4253</v>
      </c>
      <c r="E1418" s="3" t="str">
        <f>IFERROR(__xludf.DUMMYFUNCTION("GOOGLETRANSLATE(D1418, ""en"", ""zh-tw"")"),"1. 該公司獲得了巨額利潤。 2. 有大量證據支持這項說法。")</f>
        <v>1. 該公司獲得了巨額利潤。 2. 有大量證據支持這項說法。</v>
      </c>
    </row>
    <row r="1419">
      <c r="A1419" s="5" t="s">
        <v>4254</v>
      </c>
      <c r="B1419" s="6" t="s">
        <v>4255</v>
      </c>
      <c r="C1419" s="5" t="s">
        <v>17</v>
      </c>
      <c r="D1419" s="5" t="s">
        <v>4256</v>
      </c>
      <c r="E1419" s="3" t="str">
        <f>IFERROR(__xludf.DUMMYFUNCTION("GOOGLETRANSLATE(D1419, ""en"", ""zh-tw"")"),"1. 船安全駛入港口。 2. 他對這個計劃心存疑慮。")</f>
        <v>1. 船安全駛入港口。 2. 他對這個計劃心存疑慮。</v>
      </c>
    </row>
    <row r="1420">
      <c r="A1420" s="5" t="s">
        <v>4257</v>
      </c>
      <c r="B1420" s="6" t="s">
        <v>4258</v>
      </c>
      <c r="C1420" s="5" t="s">
        <v>17</v>
      </c>
      <c r="D1420" s="5" t="s">
        <v>4259</v>
      </c>
      <c r="E1420" s="3" t="str">
        <f>IFERROR(__xludf.DUMMYFUNCTION("GOOGLETRANSLATE(D1420, ""en"", ""zh-tw"")"),"1. 農民使用化學藥品來防治害蟲。 2. 花園遭到了害蟲的破壞。")</f>
        <v>1. 農民使用化學藥品來防治害蟲。 2. 花園遭到了害蟲的破壞。</v>
      </c>
    </row>
    <row r="1421">
      <c r="A1421" s="5" t="s">
        <v>4260</v>
      </c>
      <c r="B1421" s="6" t="s">
        <v>4261</v>
      </c>
      <c r="C1421" s="5" t="s">
        <v>7</v>
      </c>
      <c r="D1421" s="5" t="s">
        <v>4262</v>
      </c>
      <c r="E1421" s="3" t="str">
        <f>IFERROR(__xludf.DUMMYFUNCTION("GOOGLETRANSLATE(D1421, ""en"", ""zh-tw"")"),"1. 園丁使用覆蓋物來保持土壤水分。 2. 他們用覆蓋物覆蓋植物是為了防止雜草生長。")</f>
        <v>1. 園丁使用覆蓋物來保持土壤水分。 2. 他們用覆蓋物覆蓋植物是為了防止雜草生長。</v>
      </c>
    </row>
    <row r="1422">
      <c r="A1422" s="5" t="s">
        <v>4263</v>
      </c>
      <c r="B1422" s="6" t="s">
        <v>4264</v>
      </c>
      <c r="C1422" s="5" t="s">
        <v>7</v>
      </c>
      <c r="D1422" s="5" t="s">
        <v>4265</v>
      </c>
      <c r="E1422" s="3" t="str">
        <f>IFERROR(__xludf.DUMMYFUNCTION("GOOGLETRANSLATE(D1422, ""en"", ""zh-tw"")"),"多年生植物無需重新種植即可每年開花。")</f>
        <v>多年生植物無需重新種植即可每年開花。</v>
      </c>
    </row>
    <row r="1423">
      <c r="A1423" s="5" t="s">
        <v>4266</v>
      </c>
      <c r="B1423" s="6" t="s">
        <v>4267</v>
      </c>
      <c r="C1423" s="5" t="s">
        <v>7</v>
      </c>
      <c r="D1423" s="5" t="s">
        <v>4268</v>
      </c>
      <c r="E1423" s="3" t="str">
        <f>IFERROR(__xludf.DUMMYFUNCTION("GOOGLETRANSLATE(D1423, ""en"", ""zh-tw"")"),"1. 本系統主要用於數據分析。 2. 她主要負責行銷。")</f>
        <v>1. 本系統主要用於數據分析。 2. 她主要負責行銷。</v>
      </c>
    </row>
    <row r="1424">
      <c r="A1424" s="5" t="s">
        <v>4269</v>
      </c>
      <c r="B1424" s="6" t="s">
        <v>4270</v>
      </c>
      <c r="C1424" s="5" t="s">
        <v>7</v>
      </c>
      <c r="D1424" s="5" t="s">
        <v>4271</v>
      </c>
      <c r="E1424" s="3" t="str">
        <f>IFERROR(__xludf.DUMMYFUNCTION("GOOGLETRANSLATE(D1424, ""en"", ""zh-tw"")"),"1. 該項目大約需要兩週時間。 2. 大約有100人參加了會議。")</f>
        <v>1. 該項目大約需要兩週時間。 2. 大約有100人參加了會議。</v>
      </c>
    </row>
    <row r="1425">
      <c r="A1425" s="5" t="s">
        <v>4272</v>
      </c>
      <c r="B1425" s="6" t="s">
        <v>4273</v>
      </c>
      <c r="C1425" s="5" t="s">
        <v>17</v>
      </c>
      <c r="D1425" s="5" t="s">
        <v>4274</v>
      </c>
      <c r="E1425" s="3" t="str">
        <f>IFERROR(__xludf.DUMMYFUNCTION("GOOGLETRANSLATE(D1425, ""en"", ""zh-tw"")"),"1. 數學是我最喜歡的科目。 2. 會議的主題是降低成本。 3. 這座城市夏季經常下大雨。")</f>
        <v>1. 數學是我最喜歡的科目。 2. 會議的主題是降低成本。 3. 這座城市夏季經常下大雨。</v>
      </c>
    </row>
    <row r="1426">
      <c r="A1426" s="5" t="s">
        <v>4275</v>
      </c>
      <c r="B1426" s="6" t="s">
        <v>4276</v>
      </c>
      <c r="C1426" s="5" t="s">
        <v>7</v>
      </c>
      <c r="D1426" s="5" t="s">
        <v>4277</v>
      </c>
      <c r="E1426" s="3" t="str">
        <f>IFERROR(__xludf.DUMMYFUNCTION("GOOGLETRANSLATE(D1426, ""en"", ""zh-tw"")"),"1. 該報告對市場進行了全面分析。 2. 我們需要一個全面的計畫來解決這個問題。")</f>
        <v>1. 該報告對市場進行了全面分析。 2. 我們需要一個全面的計畫來解決這個問題。</v>
      </c>
    </row>
    <row r="1427">
      <c r="A1427" s="5" t="s">
        <v>4278</v>
      </c>
      <c r="B1427" s="6" t="s">
        <v>4279</v>
      </c>
      <c r="C1427" s="5" t="s">
        <v>7</v>
      </c>
      <c r="D1427" s="5" t="s">
        <v>4280</v>
      </c>
      <c r="E1427" s="3" t="str">
        <f>IFERROR(__xludf.DUMMYFUNCTION("GOOGLETRANSLATE(D1427, ""en"", ""zh-tw"")"),"1. 森林是重要的生態系。 2. 該公司是更大的科技生態系統的一部分。")</f>
        <v>1. 森林是重要的生態系。 2. 該公司是更大的科技生態系統的一部分。</v>
      </c>
    </row>
    <row r="1428">
      <c r="A1428" s="5" t="s">
        <v>4281</v>
      </c>
      <c r="B1428" s="6" t="s">
        <v>4282</v>
      </c>
      <c r="C1428" s="5" t="s">
        <v>7</v>
      </c>
      <c r="D1428" s="5" t="s">
        <v>4283</v>
      </c>
      <c r="E1428" s="3" t="str">
        <f>IFERROR(__xludf.DUMMYFUNCTION("GOOGLETRANSLATE(D1428, ""en"", ""zh-tw"")"),"1. 我訂閱了多個串流媒體服務。 2. 該雜誌提供年度訂閱。")</f>
        <v>1. 我訂閱了多個串流媒體服務。 2. 該雜誌提供年度訂閱。</v>
      </c>
    </row>
    <row r="1429">
      <c r="A1429" s="5" t="s">
        <v>4284</v>
      </c>
      <c r="B1429" s="6" t="s">
        <v>4285</v>
      </c>
      <c r="C1429" s="5" t="s">
        <v>279</v>
      </c>
      <c r="D1429" s="5" t="s">
        <v>4286</v>
      </c>
      <c r="E1429" s="3" t="str">
        <f>IFERROR(__xludf.DUMMYFUNCTION("GOOGLETRANSLATE(D1429, ""en"", ""zh-tw"")"),"1. 該公司是獨立的法人實體。 2. 每個部門都被視為獨立的實體。")</f>
        <v>1. 該公司是獨立的法人實體。 2. 每個部門都被視為獨立的實體。</v>
      </c>
    </row>
    <row r="1430">
      <c r="A1430" s="5" t="s">
        <v>4287</v>
      </c>
      <c r="B1430" s="6" t="s">
        <v>4288</v>
      </c>
      <c r="C1430" s="5" t="s">
        <v>17</v>
      </c>
      <c r="D1430" s="5" t="s">
        <v>4289</v>
      </c>
      <c r="E1430" s="3" t="str">
        <f>IFERROR(__xludf.DUMMYFUNCTION("GOOGLETRANSLATE(D1430, ""en"", ""zh-tw"")"),"1. 本次會議的目的在於討論銷售事宜。 2. 這個工具的用途是什麼？")</f>
        <v>1. 本次會議的目的在於討論銷售事宜。 2. 這個工具的用途是什麼？</v>
      </c>
    </row>
    <row r="1431">
      <c r="A1431" s="5" t="s">
        <v>4290</v>
      </c>
      <c r="B1431" s="6" t="s">
        <v>4291</v>
      </c>
      <c r="C1431" s="5" t="s">
        <v>7</v>
      </c>
      <c r="D1431" s="5" t="s">
        <v>4292</v>
      </c>
      <c r="E1431" s="3" t="str">
        <f>IFERROR(__xludf.DUMMYFUNCTION("GOOGLETRANSLATE(D1431, ""en"", ""zh-tw"")"),"1. 他在面試中展現了自己的能力。 2. 實驗清楚地驗證了理論。")</f>
        <v>1. 他在面試中展現了自己的能力。 2. 實驗清楚地驗證了理論。</v>
      </c>
    </row>
    <row r="1432">
      <c r="A1432" s="5" t="s">
        <v>4293</v>
      </c>
      <c r="B1432" s="6" t="s">
        <v>4294</v>
      </c>
      <c r="C1432" s="5" t="s">
        <v>7</v>
      </c>
      <c r="D1432" s="5" t="s">
        <v>4295</v>
      </c>
      <c r="E1432" s="3" t="str">
        <f>IFERROR(__xludf.DUMMYFUNCTION("GOOGLETRANSLATE(D1432, ""en"", ""zh-tw"")"),"1. 你如何解讀這些數據？ 2. 她為國際會議做口譯。")</f>
        <v>1. 你如何解讀這些數據？ 2. 她為國際會議做口譯。</v>
      </c>
    </row>
    <row r="1433">
      <c r="A1433" s="5" t="s">
        <v>4296</v>
      </c>
      <c r="B1433" s="6" t="s">
        <v>4297</v>
      </c>
      <c r="C1433" s="5" t="s">
        <v>7</v>
      </c>
      <c r="D1433" s="5" t="s">
        <v>4298</v>
      </c>
      <c r="E1433" s="3" t="str">
        <f>IFERROR(__xludf.DUMMYFUNCTION("GOOGLETRANSLATE(D1433, ""en"", ""zh-tw"")"),"1. 她是一位盡責的老師。 2. 這間房間是專門用於開會的。")</f>
        <v>1. 她是一位盡責的老師。 2. 這間房間是專門用於開會的。</v>
      </c>
    </row>
    <row r="1434">
      <c r="A1434" s="5" t="s">
        <v>4299</v>
      </c>
      <c r="B1434" s="6" t="s">
        <v>4300</v>
      </c>
      <c r="C1434" s="5" t="s">
        <v>7</v>
      </c>
      <c r="D1434" s="5" t="s">
        <v>4301</v>
      </c>
      <c r="E1434" s="3" t="str">
        <f>IFERROR(__xludf.DUMMYFUNCTION("GOOGLETRANSLATE(D1434, ""en"", ""zh-tw"")"),"1. 公司將搬遷總部。 2. 他們因為工作原因不得不搬家。")</f>
        <v>1. 公司將搬遷總部。 2. 他們因為工作原因不得不搬家。</v>
      </c>
    </row>
    <row r="1435">
      <c r="A1435" s="5" t="s">
        <v>4302</v>
      </c>
      <c r="B1435" s="6" t="s">
        <v>4303</v>
      </c>
      <c r="C1435" s="5" t="s">
        <v>7</v>
      </c>
      <c r="D1435" s="5" t="s">
        <v>4304</v>
      </c>
      <c r="E1435" s="3" t="str">
        <f>IFERROR(__xludf.DUMMYFUNCTION("GOOGLETRANSLATE(D1435, ""en"", ""zh-tw"")"),"1. 這個專案需要付出巨大的努力。 2. 她對團隊產生了巨大的影響。")</f>
        <v>1. 這個專案需要付出巨大的努力。 2. 她對團隊產生了巨大的影響。</v>
      </c>
    </row>
    <row r="1436">
      <c r="A1436" s="5" t="s">
        <v>4305</v>
      </c>
      <c r="B1436" s="6" t="s">
        <v>4306</v>
      </c>
      <c r="C1436" s="5" t="s">
        <v>17</v>
      </c>
      <c r="D1436" s="5" t="s">
        <v>4307</v>
      </c>
      <c r="E1436" s="3" t="str">
        <f>IFERROR(__xludf.DUMMYFUNCTION("GOOGLETRANSLATE(D1436, ""en"", ""zh-tw"")"),"1. 他是這家公司的前經理。 2. 這兩個選項中，我比較傾向前者。")</f>
        <v>1. 他是這家公司的前經理。 2. 這兩個選項中，我比較傾向前者。</v>
      </c>
    </row>
    <row r="1437">
      <c r="A1437" s="5" t="s">
        <v>4308</v>
      </c>
      <c r="B1437" s="6" t="s">
        <v>4309</v>
      </c>
      <c r="C1437" s="5" t="s">
        <v>17</v>
      </c>
      <c r="D1437" s="5" t="s">
        <v>4310</v>
      </c>
      <c r="E1437" s="3" t="str">
        <f>IFERROR(__xludf.DUMMYFUNCTION("GOOGLETRANSLATE(D1437, ""en"", ""zh-tw"")"),"1. 他在會議上佩戴了姓名牌。 2. 胸牌顯示她是志工。")</f>
        <v>1. 他在會議上佩戴了姓名牌。 2. 胸牌顯示她是志工。</v>
      </c>
    </row>
    <row r="1438">
      <c r="A1438" s="5" t="s">
        <v>4311</v>
      </c>
      <c r="B1438" s="6" t="s">
        <v>4312</v>
      </c>
      <c r="C1438" s="5" t="s">
        <v>7</v>
      </c>
      <c r="D1438" s="5" t="s">
        <v>4313</v>
      </c>
      <c r="E1438" s="3" t="str">
        <f>IFERROR(__xludf.DUMMYFUNCTION("GOOGLETRANSLATE(D1438, ""en"", ""zh-tw"")"),"1. 這家餐廳供應精緻美食。 2. 他是美食家，喜歡高級餐飲。")</f>
        <v>1. 這家餐廳供應精緻美食。 2. 他是美食家，喜歡高級餐飲。</v>
      </c>
    </row>
    <row r="1439">
      <c r="A1439" s="5" t="s">
        <v>4314</v>
      </c>
      <c r="B1439" s="6" t="s">
        <v>4315</v>
      </c>
      <c r="C1439" s="5" t="s">
        <v>7</v>
      </c>
      <c r="D1439" s="5" t="s">
        <v>4316</v>
      </c>
      <c r="E1439" s="3" t="str">
        <f>IFERROR(__xludf.DUMMYFUNCTION("GOOGLETRANSLATE(D1439, ""en"", ""zh-tw"")"),"1. 地球在繞軸自轉。 2. 本週員工輪班。")</f>
        <v>1. 地球在繞軸自轉。 2. 本週員工輪班。</v>
      </c>
    </row>
    <row r="1440">
      <c r="A1440" s="5" t="s">
        <v>4317</v>
      </c>
      <c r="B1440" s="6" t="s">
        <v>4318</v>
      </c>
      <c r="C1440" s="5" t="s">
        <v>7</v>
      </c>
      <c r="D1440" s="5" t="s">
        <v>4319</v>
      </c>
      <c r="E1440" s="3" t="str">
        <f>IFERROR(__xludf.DUMMYFUNCTION("GOOGLETRANSLATE(D1440, ""en"", ""zh-tw"")"),"1. 這家餐廳提供世界各地的美食。 2. 日本料理和義大利料理非常受歡迎。")</f>
        <v>1. 這家餐廳提供世界各地的美食。 2. 日本料理和義大利料理非常受歡迎。</v>
      </c>
    </row>
    <row r="1441">
      <c r="A1441" s="5" t="s">
        <v>4320</v>
      </c>
      <c r="B1441" s="6" t="s">
        <v>4321</v>
      </c>
      <c r="C1441" s="5" t="s">
        <v>279</v>
      </c>
      <c r="D1441" s="5" t="s">
        <v>4322</v>
      </c>
      <c r="E1441" s="3" t="str">
        <f>IFERROR(__xludf.DUMMYFUNCTION("GOOGLETRANSLATE(D1441, ""en"", ""zh-tw"")"),"1. 該公司採用最先進的技術。 2. 這家醫院擁有最先進的設備。")</f>
        <v>1. 該公司採用最先進的技術。 2. 這家醫院擁有最先進的設備。</v>
      </c>
    </row>
    <row r="1442">
      <c r="A1442" s="5" t="s">
        <v>4323</v>
      </c>
      <c r="B1442" s="6" t="s">
        <v>4324</v>
      </c>
      <c r="C1442" s="5" t="s">
        <v>17</v>
      </c>
      <c r="D1442" s="5" t="s">
        <v>4325</v>
      </c>
      <c r="E1442" s="3" t="str">
        <f>IFERROR(__xludf.DUMMYFUNCTION("GOOGLETRANSLATE(D1442, ""en"", ""zh-tw"")"),"1. 我們正在為即將召開的會議做準備。 2. 有關此次會議的詳情將很快公佈。")</f>
        <v>1. 我們正在為即將召開的會議做準備。 2. 有關此次會議的詳情將很快公佈。</v>
      </c>
    </row>
    <row r="1443">
      <c r="A1443" s="5" t="s">
        <v>4326</v>
      </c>
      <c r="B1443" s="6" t="s">
        <v>4327</v>
      </c>
      <c r="C1443" s="5" t="s">
        <v>7</v>
      </c>
      <c r="D1443" s="5" t="s">
        <v>4328</v>
      </c>
      <c r="E1443" s="3" t="str">
        <f>IFERROR(__xludf.DUMMYFUNCTION("GOOGLETRANSLATE(D1443, ""en"", ""zh-tw"")"),"1. 這座橋橫跨河流。 2. 這個項目歷時數年。")</f>
        <v>1. 這座橋橫跨河流。 2. 這個項目歷時數年。</v>
      </c>
    </row>
    <row r="1444">
      <c r="A1444" s="5" t="s">
        <v>4329</v>
      </c>
      <c r="B1444" s="6" t="s">
        <v>4330</v>
      </c>
      <c r="C1444" s="5" t="s">
        <v>17</v>
      </c>
      <c r="D1444" s="5" t="s">
        <v>4331</v>
      </c>
      <c r="E1444" s="3" t="str">
        <f>IFERROR(__xludf.DUMMYFUNCTION("GOOGLETRANSLATE(D1444, ""en"", ""zh-tw"")"),"1. 整體結果是正面的。 2. 總體而言，該專案取得了成功。")</f>
        <v>1. 整體結果是正面的。 2. 總體而言，該專案取得了成功。</v>
      </c>
    </row>
    <row r="1445">
      <c r="A1445" s="5" t="s">
        <v>4332</v>
      </c>
      <c r="B1445" s="6" t="s">
        <v>4333</v>
      </c>
      <c r="C1445" s="5" t="s">
        <v>7</v>
      </c>
      <c r="D1445" s="5" t="s">
        <v>4334</v>
      </c>
      <c r="E1445" s="3" t="str">
        <f>IFERROR(__xludf.DUMMYFUNCTION("GOOGLETRANSLATE(D1445, ""en"", ""zh-tw"")"),"1. 他在會議上的表現很專業。 2. 公司將進行一項調查。")</f>
        <v>1. 他在會議上的表現很專業。 2. 公司將進行一項調查。</v>
      </c>
    </row>
    <row r="1446">
      <c r="A1446" s="5" t="s">
        <v>4335</v>
      </c>
      <c r="B1446" s="6" t="s">
        <v>4336</v>
      </c>
      <c r="C1446" s="5" t="s">
        <v>7</v>
      </c>
      <c r="D1446" s="5" t="s">
        <v>4337</v>
      </c>
      <c r="E1446" s="3" t="str">
        <f>IFERROR(__xludf.DUMMYFUNCTION("GOOGLETRANSLATE(D1446, ""en"", ""zh-tw"")"),"1. 為確保安全，需定期進行檢查。 2. 該工廠已通過所有檢查。")</f>
        <v>1. 為確保安全，需定期進行檢查。 2. 該工廠已通過所有檢查。</v>
      </c>
    </row>
    <row r="1447">
      <c r="A1447" s="5" t="s">
        <v>4338</v>
      </c>
      <c r="B1447" s="6" t="s">
        <v>4339</v>
      </c>
      <c r="C1447" s="5" t="s">
        <v>279</v>
      </c>
      <c r="D1447" s="5" t="s">
        <v>4340</v>
      </c>
      <c r="E1447" s="3" t="str">
        <f>IFERROR(__xludf.DUMMYFUNCTION("GOOGLETRANSLATE(D1447, ""en"", ""zh-tw"")"),"1. 一整天斷斷續續地下著雨。 2. 由於電力問題，機器間歇性運轉。")</f>
        <v>1. 一整天斷斷續續地下著雨。 2. 由於電力問題，機器間歇性運轉。</v>
      </c>
    </row>
    <row r="1448">
      <c r="A1448" s="5" t="s">
        <v>4341</v>
      </c>
      <c r="B1448" s="6" t="s">
        <v>4342</v>
      </c>
      <c r="C1448" s="5" t="s">
        <v>7</v>
      </c>
      <c r="D1448" s="5" t="s">
        <v>4343</v>
      </c>
      <c r="E1448" s="3" t="str">
        <f>IFERROR(__xludf.DUMMYFUNCTION("GOOGLETRANSLATE(D1448, ""en"", ""zh-tw"")"),"每棟建築物都必須配備滅火器。")</f>
        <v>每棟建築物都必須配備滅火器。</v>
      </c>
    </row>
    <row r="1449">
      <c r="A1449" s="5" t="s">
        <v>4344</v>
      </c>
      <c r="B1449" s="6" t="s">
        <v>4345</v>
      </c>
      <c r="C1449" s="5" t="s">
        <v>7</v>
      </c>
      <c r="D1449" s="5" t="s">
        <v>4346</v>
      </c>
      <c r="E1449" s="3" t="str">
        <f>IFERROR(__xludf.DUMMYFUNCTION("GOOGLETRANSLATE(D1449, ""en"", ""zh-tw"")"),"1. 我的護照已過期。 2. 優惠券已過期，無法使用。")</f>
        <v>1. 我的護照已過期。 2. 優惠券已過期，無法使用。</v>
      </c>
    </row>
    <row r="1450">
      <c r="A1450" s="5" t="s">
        <v>4347</v>
      </c>
      <c r="B1450" s="6" t="s">
        <v>4348</v>
      </c>
      <c r="C1450" s="5" t="s">
        <v>17</v>
      </c>
      <c r="D1450" s="5" t="s">
        <v>4349</v>
      </c>
      <c r="E1450" s="3" t="str">
        <f>IFERROR(__xludf.DUMMYFUNCTION("GOOGLETRANSLATE(D1450, ""en"", ""zh-tw"")"),"1. 我們需要客戶盡快回覆。 2. 這是一件緊急的事。")</f>
        <v>1. 我們需要客戶盡快回覆。 2. 這是一件緊急的事。</v>
      </c>
    </row>
    <row r="1451">
      <c r="A1451" s="5" t="s">
        <v>4350</v>
      </c>
      <c r="B1451" s="6" t="s">
        <v>4351</v>
      </c>
      <c r="C1451" s="5" t="s">
        <v>279</v>
      </c>
      <c r="D1451" s="5" t="s">
        <v>4352</v>
      </c>
      <c r="E1451" s="3" t="str">
        <f>IFERROR(__xludf.DUMMYFUNCTION("GOOGLETRANSLATE(D1451, ""en"", ""zh-tw"")"),"1. 鳥類遷徙始於秋季。 2. 公司已成功完成資料遷移。")</f>
        <v>1. 鳥類遷徙始於秋季。 2. 公司已成功完成資料遷移。</v>
      </c>
    </row>
    <row r="1452">
      <c r="A1452" s="5" t="s">
        <v>4353</v>
      </c>
      <c r="B1452" s="6" t="s">
        <v>4354</v>
      </c>
      <c r="C1452" s="5" t="s">
        <v>7</v>
      </c>
      <c r="D1452" s="5" t="s">
        <v>4355</v>
      </c>
      <c r="E1452" s="3" t="str">
        <f>IFERROR(__xludf.DUMMYFUNCTION("GOOGLETRANSLATE(D1452, ""en"", ""zh-tw"")"),"1. 該公司提供活動餐飲服務。 2. 這家餐廳本週末承辦一場婚禮的餐飲服務。")</f>
        <v>1. 該公司提供活動餐飲服務。 2. 這家餐廳本週末承辦一場婚禮的餐飲服務。</v>
      </c>
    </row>
    <row r="1453">
      <c r="A1453" s="5" t="s">
        <v>4356</v>
      </c>
      <c r="B1453" s="6" t="s">
        <v>4357</v>
      </c>
      <c r="C1453" s="5" t="s">
        <v>279</v>
      </c>
      <c r="D1453" s="5" t="s">
        <v>4358</v>
      </c>
      <c r="E1453" s="3" t="str">
        <f>IFERROR(__xludf.DUMMYFUNCTION("GOOGLETRANSLATE(D1453, ""en"", ""zh-tw"")"),"外部審計師審查了公司的財務記錄。")</f>
        <v>外部審計師審查了公司的財務記錄。</v>
      </c>
    </row>
    <row r="1454">
      <c r="A1454" s="5" t="s">
        <v>4359</v>
      </c>
      <c r="B1454" s="6" t="s">
        <v>4360</v>
      </c>
      <c r="C1454" s="5" t="s">
        <v>17</v>
      </c>
      <c r="D1454" s="5" t="s">
        <v>4361</v>
      </c>
      <c r="E1454" s="3" t="str">
        <f>IFERROR(__xludf.DUMMYFUNCTION("GOOGLETRANSLATE(D1454, ""en"", ""zh-tw"")"),"1. 本公司提供牙科保險。 2. 我明天有個牙醫預約。")</f>
        <v>1. 本公司提供牙科保險。 2. 我明天有個牙醫預約。</v>
      </c>
    </row>
    <row r="1455">
      <c r="A1455" s="5" t="s">
        <v>4362</v>
      </c>
      <c r="B1455" s="6" t="s">
        <v>4363</v>
      </c>
      <c r="C1455" s="5" t="s">
        <v>7</v>
      </c>
      <c r="D1455" s="5" t="s">
        <v>4364</v>
      </c>
      <c r="E1455" s="3" t="str">
        <f>IFERROR(__xludf.DUMMYFUNCTION("GOOGLETRANSLATE(D1455, ""en"", ""zh-tw"")"),"1. 博物館展出了一件現代雕塑作品。 2. 她在藝術學校學習雕塑。")</f>
        <v>1. 博物館展出了一件現代雕塑作品。 2. 她在藝術學校學習雕塑。</v>
      </c>
    </row>
    <row r="1456">
      <c r="A1456" s="5" t="s">
        <v>4365</v>
      </c>
      <c r="B1456" s="6" t="s">
        <v>4366</v>
      </c>
      <c r="C1456" s="5" t="s">
        <v>279</v>
      </c>
      <c r="D1456" s="5" t="s">
        <v>4367</v>
      </c>
      <c r="E1456" s="3" t="str">
        <f>IFERROR(__xludf.DUMMYFUNCTION("GOOGLETRANSLATE(D1456, ""en"", ""zh-tw"")"),"1. 該公司在經濟衰退期間遭受損失。 2. 由於市場低迷，銷售額下降。")</f>
        <v>1. 該公司在經濟衰退期間遭受損失。 2. 由於市場低迷，銷售額下降。</v>
      </c>
    </row>
    <row r="1457">
      <c r="A1457" s="5" t="s">
        <v>4368</v>
      </c>
      <c r="B1457" s="6" t="s">
        <v>4369</v>
      </c>
      <c r="C1457" s="5" t="s">
        <v>17</v>
      </c>
      <c r="D1457" s="5" t="s">
        <v>4370</v>
      </c>
      <c r="E1457" s="3" t="str">
        <f>IFERROR(__xludf.DUMMYFUNCTION("GOOGLETRANSLATE(D1457, ""en"", ""zh-tw"")"),"1. 這次演講內容非常豐富。 2. 這是一篇關於氣候變遷的翔實文章。")</f>
        <v>1. 這次演講內容非常豐富。 2. 這是一篇關於氣候變遷的翔實文章。</v>
      </c>
    </row>
    <row r="1458">
      <c r="A1458" s="5" t="s">
        <v>4371</v>
      </c>
      <c r="B1458" s="6" t="s">
        <v>4372</v>
      </c>
      <c r="C1458" s="5" t="s">
        <v>17</v>
      </c>
      <c r="D1458" s="5" t="s">
        <v>4373</v>
      </c>
      <c r="E1458" s="3" t="str">
        <f>IFERROR(__xludf.DUMMYFUNCTION("GOOGLETRANSLATE(D1458, ""en"", ""zh-tw"")"),"1. 本公司提供不同的服務套餐。 2. 客戶可以從多種服務套餐中進行選擇。")</f>
        <v>1. 本公司提供不同的服務套餐。 2. 客戶可以從多種服務套餐中進行選擇。</v>
      </c>
    </row>
    <row r="1459">
      <c r="A1459" s="5" t="s">
        <v>4374</v>
      </c>
      <c r="B1459" s="6" t="s">
        <v>4375</v>
      </c>
      <c r="C1459" s="5" t="s">
        <v>279</v>
      </c>
      <c r="D1459" s="5" t="s">
        <v>4376</v>
      </c>
      <c r="E1459" s="3" t="str">
        <f>IFERROR(__xludf.DUMMYFUNCTION("GOOGLETRANSLATE(D1459, ""en"", ""zh-tw"")"),"1. 該公司注重環境永續發展。 2. 永續發展是現代商業的關鍵議題。")</f>
        <v>1. 該公司注重環境永續發展。 2. 永續發展是現代商業的關鍵議題。</v>
      </c>
    </row>
    <row r="1460">
      <c r="A1460" s="5" t="s">
        <v>4377</v>
      </c>
      <c r="B1460" s="6" t="s">
        <v>4378</v>
      </c>
      <c r="C1460" s="5" t="s">
        <v>7</v>
      </c>
      <c r="D1460" s="5" t="s">
        <v>4379</v>
      </c>
      <c r="E1460" s="3" t="str">
        <f>IFERROR(__xludf.DUMMYFUNCTION("GOOGLETRANSLATE(D1460, ""en"", ""zh-tw"")"),"1. 今晚天氣可能會惡化。 2. 睡眠不足會損害你的健康。")</f>
        <v>1. 今晚天氣可能會惡化。 2. 睡眠不足會損害你的健康。</v>
      </c>
    </row>
    <row r="1461">
      <c r="A1461" s="5" t="s">
        <v>4380</v>
      </c>
      <c r="B1461" s="6" t="s">
        <v>4381</v>
      </c>
      <c r="C1461" s="5" t="s">
        <v>17</v>
      </c>
      <c r="D1461" s="5" t="s">
        <v>4382</v>
      </c>
      <c r="E1461" s="3" t="str">
        <f>IFERROR(__xludf.DUMMYFUNCTION("GOOGLETRANSLATE(D1461, ""en"", ""zh-tw"")"),"1. 她總是準時參加會議。 2. 在職場上，準時非常重要。")</f>
        <v>1. 她總是準時參加會議。 2. 在職場上，準時非常重要。</v>
      </c>
    </row>
    <row r="1462">
      <c r="A1462" s="5" t="s">
        <v>4383</v>
      </c>
      <c r="B1462" s="6" t="s">
        <v>4384</v>
      </c>
      <c r="C1462" s="5" t="s">
        <v>7</v>
      </c>
      <c r="D1462" s="5" t="s">
        <v>4385</v>
      </c>
      <c r="E1462" s="3" t="str">
        <f>IFERROR(__xludf.DUMMYFUNCTION("GOOGLETRANSLATE(D1462, ""en"", ""zh-tw"")"),"1. 請將機密文件放入碎紙機。 2. 辦公室新買了一台碎紙機。")</f>
        <v>1. 請將機密文件放入碎紙機。 2. 辦公室新買了一台碎紙機。</v>
      </c>
    </row>
    <row r="1463">
      <c r="A1463" s="5" t="s">
        <v>4386</v>
      </c>
      <c r="B1463" s="6" t="s">
        <v>4387</v>
      </c>
      <c r="C1463" s="5" t="s">
        <v>7</v>
      </c>
      <c r="D1463" s="5" t="s">
        <v>4388</v>
      </c>
      <c r="E1463" s="3" t="str">
        <f>IFERROR(__xludf.DUMMYFUNCTION("GOOGLETRANSLATE(D1463, ""en"", ""zh-tw"")"),"她負責行銷部門。")</f>
        <v>她負責行銷部門。</v>
      </c>
    </row>
    <row r="1464">
      <c r="A1464" s="5" t="s">
        <v>4389</v>
      </c>
      <c r="B1464" s="6" t="s">
        <v>4390</v>
      </c>
      <c r="C1464" s="5" t="s">
        <v>17</v>
      </c>
      <c r="D1464" s="5" t="s">
        <v>4391</v>
      </c>
      <c r="E1464" s="3" t="str">
        <f>IFERROR(__xludf.DUMMYFUNCTION("GOOGLETRANSLATE(D1464, ""en"", ""zh-tw"")"),"1. 他在鄉下度過了他的青年時代。 2. 該計畫旨在支持當地青年。")</f>
        <v>1. 他在鄉下度過了他的青年時代。 2. 該計畫旨在支持當地青年。</v>
      </c>
    </row>
    <row r="1465">
      <c r="A1465" s="5" t="s">
        <v>4392</v>
      </c>
      <c r="B1465" s="6" t="s">
        <v>4393</v>
      </c>
      <c r="C1465" s="5" t="s">
        <v>7</v>
      </c>
      <c r="D1465" s="5" t="s">
        <v>4394</v>
      </c>
      <c r="E1465" s="3" t="str">
        <f>IFERROR(__xludf.DUMMYFUNCTION("GOOGLETRANSLATE(D1465, ""en"", ""zh-tw"")"),"1. 這台機器包含多個電子元件。 2. 溝通是團隊合作的重要組成部分。")</f>
        <v>1. 這台機器包含多個電子元件。 2. 溝通是團隊合作的重要組成部分。</v>
      </c>
    </row>
    <row r="1466">
      <c r="A1466" s="5" t="s">
        <v>4395</v>
      </c>
      <c r="B1466" s="6" t="s">
        <v>4396</v>
      </c>
      <c r="C1466" s="5" t="s">
        <v>279</v>
      </c>
      <c r="D1466" s="5" t="s">
        <v>4397</v>
      </c>
      <c r="E1466" s="3" t="str">
        <f>IFERROR(__xludf.DUMMYFUNCTION("GOOGLETRANSLATE(D1466, ""en"", ""zh-tw"")"),"1. 該飯店入住率為90%。 2. 建築已準備就緒，可以入住。")</f>
        <v>1. 該飯店入住率為90%。 2. 建築已準備就緒，可以入住。</v>
      </c>
    </row>
    <row r="1467">
      <c r="A1467" s="5" t="s">
        <v>4398</v>
      </c>
      <c r="B1467" s="6" t="s">
        <v>4399</v>
      </c>
      <c r="C1467" s="5" t="s">
        <v>7</v>
      </c>
      <c r="D1467" s="5" t="s">
        <v>4400</v>
      </c>
      <c r="E1467" s="3" t="str">
        <f>IFERROR(__xludf.DUMMYFUNCTION("GOOGLETRANSLATE(D1467, ""en"", ""zh-tw"")"),"1. 我需要從銀行拿一些現金。 2. 他撤回了申請。")</f>
        <v>1. 我需要從銀行拿一些現金。 2. 他撤回了申請。</v>
      </c>
    </row>
    <row r="1468">
      <c r="A1468" s="5" t="s">
        <v>4401</v>
      </c>
      <c r="B1468" s="6" t="s">
        <v>4402</v>
      </c>
      <c r="C1468" s="5" t="s">
        <v>17</v>
      </c>
      <c r="D1468" s="5" t="s">
        <v>4403</v>
      </c>
      <c r="E1468" s="3" t="str">
        <f>IFERROR(__xludf.DUMMYFUNCTION("GOOGLETRANSLATE(D1468, ""en"", ""zh-tw"")"),"1. 我們晚餐吃了剩菜。 2. 冰箱裡還有一些剩菜。")</f>
        <v>1. 我們晚餐吃了剩菜。 2. 冰箱裡還有一些剩菜。</v>
      </c>
    </row>
    <row r="1469">
      <c r="A1469" s="5" t="s">
        <v>4404</v>
      </c>
      <c r="B1469" s="6" t="s">
        <v>4405</v>
      </c>
      <c r="C1469" s="5" t="s">
        <v>7</v>
      </c>
      <c r="D1469" s="5" t="s">
        <v>4406</v>
      </c>
      <c r="E1469" s="3" t="str">
        <f>IFERROR(__xludf.DUMMYFUNCTION("GOOGLETRANSLATE(D1469, ""en"", ""zh-tw"")"),"1. 公司宣傳了其新產品的發布。 2. 結果在媒體上得到了廣泛報導。")</f>
        <v>1. 公司宣傳了其新產品的發布。 2. 結果在媒體上得到了廣泛報導。</v>
      </c>
    </row>
    <row r="1470">
      <c r="A1470" s="5" t="s">
        <v>4407</v>
      </c>
      <c r="B1470" s="6" t="s">
        <v>4408</v>
      </c>
      <c r="C1470" s="5" t="s">
        <v>7</v>
      </c>
      <c r="D1470" s="5" t="s">
        <v>4409</v>
      </c>
      <c r="E1470" s="3" t="str">
        <f>IFERROR(__xludf.DUMMYFUNCTION("GOOGLETRANSLATE(D1470, ""en"", ""zh-tw"")"),"1. 員工績效評估每年進行一次。 2. 房產評估工作已完成。")</f>
        <v>1. 員工績效評估每年進行一次。 2. 房產評估工作已完成。</v>
      </c>
    </row>
    <row r="1471">
      <c r="A1471" s="5" t="s">
        <v>4410</v>
      </c>
      <c r="B1471" s="6" t="s">
        <v>4411</v>
      </c>
      <c r="C1471" s="5" t="s">
        <v>7</v>
      </c>
      <c r="D1471" s="5" t="s">
        <v>4412</v>
      </c>
      <c r="E1471" s="3" t="str">
        <f>IFERROR(__xludf.DUMMYFUNCTION("GOOGLETRANSLATE(D1471, ""en"", ""zh-tw"")"),"1. 文件都在文件櫃裡。 2. 他負責提交稅務申報表。")</f>
        <v>1. 文件都在文件櫃裡。 2. 他負責提交稅務申報表。</v>
      </c>
    </row>
    <row r="1472">
      <c r="A1472" s="5" t="s">
        <v>4413</v>
      </c>
      <c r="B1472" s="6" t="s">
        <v>4414</v>
      </c>
      <c r="C1472" s="5" t="s">
        <v>7</v>
      </c>
      <c r="D1472" s="5" t="s">
        <v>4415</v>
      </c>
      <c r="E1472" s="3" t="str">
        <f>IFERROR(__xludf.DUMMYFUNCTION("GOOGLETRANSLATE(D1472, ""en"", ""zh-tw"")"),"1. 該項目仍在進行中。 2. 目前正在進行調查。")</f>
        <v>1. 該項目仍在進行中。 2. 目前正在進行調查。</v>
      </c>
    </row>
    <row r="1473">
      <c r="A1473" s="5" t="s">
        <v>4416</v>
      </c>
      <c r="B1473" s="6" t="s">
        <v>4417</v>
      </c>
      <c r="C1473" s="5" t="s">
        <v>7</v>
      </c>
      <c r="D1473" s="5" t="s">
        <v>4418</v>
      </c>
      <c r="E1473" s="3" t="str">
        <f>IFERROR(__xludf.DUMMYFUNCTION("GOOGLETRANSLATE(D1473, ""en"", ""zh-tw"")"),"1. 請填寫這份問​​卷。 2. 問卷內容是關於客戶滿意度的。")</f>
        <v>1. 請填寫這份問​​卷。 2. 問卷內容是關於客戶滿意度的。</v>
      </c>
    </row>
    <row r="1474">
      <c r="A1474" s="5" t="s">
        <v>4419</v>
      </c>
      <c r="B1474" s="6" t="s">
        <v>4420</v>
      </c>
      <c r="C1474" s="5" t="s">
        <v>17</v>
      </c>
      <c r="D1474" s="5" t="s">
        <v>4421</v>
      </c>
      <c r="E1474" s="3" t="str">
        <f>IFERROR(__xludf.DUMMYFUNCTION("GOOGLETRANSLATE(D1474, ""en"", ""zh-tw"")"),"1. 全球經濟正在復甦。 2. 我們需要改善能源經濟。")</f>
        <v>1. 全球經濟正在復甦。 2. 我們需要改善能源經濟。</v>
      </c>
    </row>
    <row r="1475">
      <c r="A1475" s="5" t="s">
        <v>4422</v>
      </c>
      <c r="B1475" s="6" t="s">
        <v>4423</v>
      </c>
      <c r="C1475" s="5" t="s">
        <v>17</v>
      </c>
      <c r="D1475" s="5" t="s">
        <v>4424</v>
      </c>
      <c r="E1475" s="3" t="str">
        <f>IFERROR(__xludf.DUMMYFUNCTION("GOOGLETRANSLATE(D1475, ""en"", ""zh-tw"")"),"1. 公司每年召開一次股東會。 2. 銷售額按年公佈。")</f>
        <v>1. 公司每年召開一次股東會。 2. 銷售額按年公佈。</v>
      </c>
    </row>
    <row r="1476">
      <c r="A1476" s="5" t="s">
        <v>4425</v>
      </c>
      <c r="B1476" s="6" t="s">
        <v>4426</v>
      </c>
      <c r="C1476" s="5" t="s">
        <v>17</v>
      </c>
      <c r="D1476" s="5" t="s">
        <v>4427</v>
      </c>
      <c r="E1476" s="3" t="str">
        <f>IFERROR(__xludf.DUMMYFUNCTION("GOOGLETRANSLATE(D1476, ""en"", ""zh-tw"")"),"1. 貨物儲存在倉庫中。 2. 該公司在多個地點設有倉庫存放產品。")</f>
        <v>1. 貨物儲存在倉庫中。 2. 該公司在多個地點設有倉庫存放產品。</v>
      </c>
    </row>
    <row r="1477">
      <c r="A1477" s="5" t="s">
        <v>4428</v>
      </c>
      <c r="B1477" s="6" t="s">
        <v>4429</v>
      </c>
      <c r="C1477" s="5" t="s">
        <v>17</v>
      </c>
      <c r="D1477" s="5" t="s">
        <v>4430</v>
      </c>
      <c r="E1477" s="3" t="str">
        <f>IFERROR(__xludf.DUMMYFUNCTION("GOOGLETRANSLATE(D1477, ""en"", ""zh-tw"")"),"1. 快遞員今天早上送來了包裹。 2. 我們使用快遞服務寄送緊急文件。")</f>
        <v>1. 快遞員今天早上送來了包裹。 2. 我們使用快遞服務寄送緊急文件。</v>
      </c>
    </row>
    <row r="1478">
      <c r="A1478" s="5" t="s">
        <v>4431</v>
      </c>
      <c r="B1478" s="6" t="s">
        <v>4432</v>
      </c>
      <c r="C1478" s="5" t="s">
        <v>17</v>
      </c>
      <c r="D1478" s="5" t="s">
        <v>4433</v>
      </c>
      <c r="E1478" s="3" t="str">
        <f>IFERROR(__xludf.DUMMYFUNCTION("GOOGLETRANSLATE(D1478, ""en"", ""zh-tw"")"),"1. 她拒絕了這份工作。 2. 請把音樂聲調小一點。")</f>
        <v>1. 她拒絕了這份工作。 2. 請把音樂聲調小一點。</v>
      </c>
    </row>
    <row r="1479">
      <c r="A1479" s="5" t="s">
        <v>4434</v>
      </c>
      <c r="B1479" s="6" t="s">
        <v>4435</v>
      </c>
      <c r="C1479" s="5" t="s">
        <v>279</v>
      </c>
      <c r="D1479" s="5" t="s">
        <v>4436</v>
      </c>
      <c r="E1479" s="3" t="str">
        <f>IFERROR(__xludf.DUMMYFUNCTION("GOOGLETRANSLATE(D1479, ""en"", ""zh-tw"")"),"1. 她是該領域最頂尖的專家之一。 2. 安全是我們最關心的問題。")</f>
        <v>1. 她是該領域最頂尖的專家之一。 2. 安全是我們最關心的問題。</v>
      </c>
    </row>
    <row r="1480">
      <c r="A1480" s="5" t="s">
        <v>4437</v>
      </c>
      <c r="B1480" s="6" t="s">
        <v>4438</v>
      </c>
      <c r="C1480" s="5" t="s">
        <v>7</v>
      </c>
      <c r="D1480" s="5" t="s">
        <v>4439</v>
      </c>
      <c r="E1480" s="3" t="str">
        <f>IFERROR(__xludf.DUMMYFUNCTION("GOOGLETRANSLATE(D1480, ""en"", ""zh-tw"")"),"1. 這棟大樓配備了備用發電機。 2. 此密碼系統使用隨機數產生器。")</f>
        <v>1. 這棟大樓配備了備用發電機。 2. 此密碼系統使用隨機數產生器。</v>
      </c>
    </row>
    <row r="1481">
      <c r="A1481" s="5" t="s">
        <v>4440</v>
      </c>
      <c r="B1481" s="6" t="s">
        <v>4441</v>
      </c>
      <c r="C1481" s="5" t="s">
        <v>17</v>
      </c>
      <c r="D1481" s="5" t="s">
        <v>4442</v>
      </c>
      <c r="E1481" s="3" t="str">
        <f>IFERROR(__xludf.DUMMYFUNCTION("GOOGLETRANSLATE(D1481, ""en"", ""zh-tw"")"),"1. 這是前往機場最快的路線。 2. 包裹經由香港轉運。")</f>
        <v>1. 這是前往機場最快的路線。 2. 包裹經由香港轉運。</v>
      </c>
    </row>
    <row r="1482">
      <c r="A1482" s="5" t="s">
        <v>4443</v>
      </c>
      <c r="B1482" s="6" t="s">
        <v>4444</v>
      </c>
      <c r="C1482" s="5" t="s">
        <v>17</v>
      </c>
      <c r="D1482" s="5" t="s">
        <v>4445</v>
      </c>
      <c r="E1482" s="3" t="str">
        <f>IFERROR(__xludf.DUMMYFUNCTION("GOOGLETRANSLATE(D1482, ""en"", ""zh-tw"")"),"女士，不好意思，您的包包掉了。")</f>
        <v>女士，不好意思，您的包包掉了。</v>
      </c>
    </row>
    <row r="1483">
      <c r="A1483" s="5" t="s">
        <v>4446</v>
      </c>
      <c r="B1483" s="6" t="s">
        <v>4447</v>
      </c>
      <c r="C1483" s="5" t="s">
        <v>7</v>
      </c>
      <c r="D1483" s="5" t="s">
        <v>4448</v>
      </c>
      <c r="E1483" s="3" t="str">
        <f>IFERROR(__xludf.DUMMYFUNCTION("GOOGLETRANSLATE(D1483, ""en"", ""zh-tw"")"),"1. 該地區遍布私人住宅。 2. 任何住宅的消防安全都至關重要。")</f>
        <v>1. 該地區遍布私人住宅。 2. 任何住宅的消防安全都至關重要。</v>
      </c>
    </row>
    <row r="1484">
      <c r="A1484" s="5" t="s">
        <v>4449</v>
      </c>
      <c r="B1484" s="6" t="s">
        <v>4450</v>
      </c>
      <c r="C1484" s="5" t="s">
        <v>17</v>
      </c>
      <c r="D1484" s="5" t="s">
        <v>4451</v>
      </c>
      <c r="E1484" s="3" t="str">
        <f>IFERROR(__xludf.DUMMYFUNCTION("GOOGLETRANSLATE(D1484, ""en"", ""zh-tw"")"),"1. 受訓人員正在學習如何使用系統。 2. 新受訓人員將於下週一開始。")</f>
        <v>1. 受訓人員正在學習如何使用系統。 2. 新受訓人員將於下週一開始。</v>
      </c>
    </row>
    <row r="1485">
      <c r="A1485" s="5" t="s">
        <v>4452</v>
      </c>
      <c r="B1485" s="6" t="s">
        <v>4453</v>
      </c>
      <c r="C1485" s="5" t="s">
        <v>17</v>
      </c>
      <c r="D1485" s="5" t="s">
        <v>4454</v>
      </c>
      <c r="E1485" s="3" t="str">
        <f>IFERROR(__xludf.DUMMYFUNCTION("GOOGLETRANSLATE(D1485, ""en"", ""zh-tw"")"),"我把包包落在儲物櫃裡了。")</f>
        <v>我把包包落在儲物櫃裡了。</v>
      </c>
    </row>
    <row r="1486">
      <c r="A1486" s="5" t="s">
        <v>4455</v>
      </c>
      <c r="B1486" s="6" t="s">
        <v>4456</v>
      </c>
      <c r="C1486" s="5" t="s">
        <v>7</v>
      </c>
      <c r="D1486" s="5" t="s">
        <v>4457</v>
      </c>
      <c r="E1486" s="3" t="str">
        <f>IFERROR(__xludf.DUMMYFUNCTION("GOOGLETRANSLATE(D1486, ""en"", ""zh-tw"")"),"1. 你可以在售票亭購買門票。 2. 公園裡有小吃售貨亭。")</f>
        <v>1. 你可以在售票亭購買門票。 2. 公園裡有小吃售貨亭。</v>
      </c>
    </row>
    <row r="1487">
      <c r="A1487" s="5" t="s">
        <v>4458</v>
      </c>
      <c r="B1487" s="6" t="s">
        <v>4459</v>
      </c>
      <c r="C1487" s="5" t="s">
        <v>7</v>
      </c>
      <c r="D1487" s="5" t="s">
        <v>4460</v>
      </c>
      <c r="E1487" s="3" t="str">
        <f>IFERROR(__xludf.DUMMYFUNCTION("GOOGLETRANSLATE(D1487, ""en"", ""zh-tw"")"),"1. 醫生開了治療感染的藥給你。 2. 你應該按時服藥。")</f>
        <v>1. 醫生開了治療感染的藥給你。 2. 你應該按時服藥。</v>
      </c>
    </row>
    <row r="1488">
      <c r="A1488" s="5" t="s">
        <v>4461</v>
      </c>
      <c r="B1488" s="6" t="s">
        <v>4462</v>
      </c>
      <c r="C1488" s="5" t="s">
        <v>7</v>
      </c>
      <c r="D1488" s="5" t="s">
        <v>4463</v>
      </c>
      <c r="E1488" s="3" t="str">
        <f>IFERROR(__xludf.DUMMYFUNCTION("GOOGLETRANSLATE(D1488, ""en"", ""zh-tw"")"),"1. 交易已成功完成。 2. 每筆銀行交易都會記錄在系統中。")</f>
        <v>1. 交易已成功完成。 2. 每筆銀行交易都會記錄在系統中。</v>
      </c>
    </row>
    <row r="1489">
      <c r="A1489" s="5" t="s">
        <v>4464</v>
      </c>
      <c r="B1489" s="6" t="s">
        <v>4465</v>
      </c>
      <c r="C1489" s="5" t="s">
        <v>7</v>
      </c>
      <c r="D1489" s="5" t="s">
        <v>4466</v>
      </c>
      <c r="E1489" s="3" t="str">
        <f>IFERROR(__xludf.DUMMYFUNCTION("GOOGLETRANSLATE(D1489, ""en"", ""zh-tw"")"),"1. 建築師審閱了建築藍圖。 2. 公司製定了未來發展藍圖。")</f>
        <v>1. 建築師審閱了建築藍圖。 2. 公司製定了未來發展藍圖。</v>
      </c>
    </row>
    <row r="1490">
      <c r="A1490" s="5" t="s">
        <v>4467</v>
      </c>
      <c r="B1490" s="6" t="s">
        <v>4468</v>
      </c>
      <c r="C1490" s="5" t="s">
        <v>7</v>
      </c>
      <c r="D1490" s="5" t="s">
        <v>4469</v>
      </c>
      <c r="E1490" s="3" t="str">
        <f>IFERROR(__xludf.DUMMYFUNCTION("GOOGLETRANSLATE(D1490, ""en"", ""zh-tw"")"),"1. 該產品符合所有技術規格。 2. 請在訂購前仔細核對規格。")</f>
        <v>1. 該產品符合所有技術規格。 2. 請在訂購前仔細核對規格。</v>
      </c>
    </row>
    <row r="1491">
      <c r="A1491" s="5" t="s">
        <v>4470</v>
      </c>
      <c r="B1491" s="6" t="s">
        <v>4471</v>
      </c>
      <c r="C1491" s="5" t="s">
        <v>279</v>
      </c>
      <c r="D1491" s="5" t="s">
        <v>4472</v>
      </c>
      <c r="E1491" s="3" t="str">
        <f>IFERROR(__xludf.DUMMYFUNCTION("GOOGLETRANSLATE(D1491, ""en"", ""zh-tw"")"),"該法案已獲議會通過。")</f>
        <v>該法案已獲議會通過。</v>
      </c>
    </row>
    <row r="1492">
      <c r="A1492" s="5" t="s">
        <v>4473</v>
      </c>
      <c r="B1492" s="6" t="s">
        <v>4474</v>
      </c>
      <c r="C1492" s="5" t="s">
        <v>279</v>
      </c>
      <c r="D1492" s="5" t="s">
        <v>4475</v>
      </c>
      <c r="E1492" s="3" t="str">
        <f>IFERROR(__xludf.DUMMYFUNCTION("GOOGLETRANSLATE(D1492, ""en"", ""zh-tw"")"),"1. 該公司申請了專利。 2. 她為自己的發明申請了專利。 3. 這個錯誤顯而易見。")</f>
        <v>1. 該公司申請了專利。 2. 她為自己的發明申請了專利。 3. 這個錯誤顯而易見。</v>
      </c>
    </row>
    <row r="1493">
      <c r="A1493" s="5" t="s">
        <v>4476</v>
      </c>
      <c r="B1493" s="6" t="s">
        <v>4477</v>
      </c>
      <c r="C1493" s="5" t="s">
        <v>17</v>
      </c>
      <c r="D1493" s="5" t="s">
        <v>4478</v>
      </c>
      <c r="E1493" s="3" t="str">
        <f>IFERROR(__xludf.DUMMYFUNCTION("GOOGLETRANSLATE(D1493, ""en"", ""zh-tw"")"),"1. 歐元是許多歐洲國家的官方貨幣。 2. 這一觀點在媒體上廣為流傳。")</f>
        <v>1. 歐元是許多歐洲國家的官方貨幣。 2. 這一觀點在媒體上廣為流傳。</v>
      </c>
    </row>
    <row r="1494">
      <c r="A1494" s="5" t="s">
        <v>4479</v>
      </c>
      <c r="B1494" s="6" t="s">
        <v>4480</v>
      </c>
      <c r="C1494" s="5" t="s">
        <v>279</v>
      </c>
      <c r="D1494" s="5" t="s">
        <v>4481</v>
      </c>
      <c r="E1494" s="3" t="str">
        <f>IFERROR(__xludf.DUMMYFUNCTION("GOOGLETRANSLATE(D1494, ""en"", ""zh-tw"")"),"1. 設備折舊按年計提。 2. 貨幣貶值會影響進口。")</f>
        <v>1. 設備折舊按年計提。 2. 貨幣貶值會影響進口。</v>
      </c>
    </row>
    <row r="1495">
      <c r="A1495" s="5" t="s">
        <v>4482</v>
      </c>
      <c r="B1495" s="6" t="s">
        <v>4483</v>
      </c>
      <c r="C1495" s="5" t="s">
        <v>279</v>
      </c>
      <c r="D1495" s="5" t="s">
        <v>4484</v>
      </c>
      <c r="E1495" s="3" t="str">
        <f>IFERROR(__xludf.DUMMYFUNCTION("GOOGLETRANSLATE(D1495, ""en"", ""zh-tw"")"),"1. 他被裁員後獲得了遣散費。 2. 兩家公司終止合作關係出乎意料。")</f>
        <v>1. 他被裁員後獲得了遣散費。 2. 兩家公司終止合作關係出乎意料。</v>
      </c>
    </row>
    <row r="1496">
      <c r="A1496" s="5" t="s">
        <v>4485</v>
      </c>
      <c r="B1496" s="6" t="s">
        <v>4486</v>
      </c>
      <c r="C1496" s="5" t="s">
        <v>17</v>
      </c>
      <c r="D1496" s="5" t="s">
        <v>4487</v>
      </c>
      <c r="E1496" s="3" t="str">
        <f>IFERROR(__xludf.DUMMYFUNCTION("GOOGLETRANSLATE(D1496, ""en"", ""zh-tw"")"),"1. 我今天需要洗衣服。 2. 飯店裡有洗衣服務。")</f>
        <v>1. 我今天需要洗衣服。 2. 飯店裡有洗衣服務。</v>
      </c>
    </row>
    <row r="1497">
      <c r="A1497" s="5" t="s">
        <v>4488</v>
      </c>
      <c r="B1497" s="6" t="s">
        <v>4489</v>
      </c>
      <c r="C1497" s="5" t="s">
        <v>7</v>
      </c>
      <c r="D1497" s="5" t="s">
        <v>4490</v>
      </c>
      <c r="E1497" s="3" t="str">
        <f>IFERROR(__xludf.DUMMYFUNCTION("GOOGLETRANSLATE(D1497, ""en"", ""zh-tw"")"),"1. 我被多收了計程車費。 2. 顧客投訴了帳單收費過高。")</f>
        <v>1. 我被多收了計程車費。 2. 顧客投訴了帳單收費過高。</v>
      </c>
    </row>
    <row r="1498">
      <c r="A1498" s="5" t="s">
        <v>4491</v>
      </c>
      <c r="B1498" s="6" t="s">
        <v>4492</v>
      </c>
      <c r="C1498" s="5" t="s">
        <v>279</v>
      </c>
      <c r="D1498" s="5" t="s">
        <v>4493</v>
      </c>
      <c r="E1498" s="3" t="str">
        <f>IFERROR(__xludf.DUMMYFUNCTION("GOOGLETRANSLATE(D1498, ""en"", ""zh-tw"")"),"1. 這份報告有許多冗餘內容。 2. 公司裁員後，她被提供了裁員方案。")</f>
        <v>1. 這份報告有許多冗餘內容。 2. 公司裁員後，她被提供了裁員方案。</v>
      </c>
    </row>
    <row r="1499">
      <c r="A1499" s="5" t="s">
        <v>4494</v>
      </c>
      <c r="B1499" s="6" t="s">
        <v>4495</v>
      </c>
      <c r="C1499" s="5" t="s">
        <v>7</v>
      </c>
      <c r="D1499" s="5" t="s">
        <v>4496</v>
      </c>
      <c r="E1499" s="3" t="str">
        <f>IFERROR(__xludf.DUMMYFUNCTION("GOOGLETRANSLATE(D1499, ""en"", ""zh-tw"")"),"1. 在下一個路口右轉。 2. 這個鐵路樞紐連接三個城市。")</f>
        <v>1. 在下一個路口右轉。 2. 這個鐵路樞紐連接三個城市。</v>
      </c>
    </row>
    <row r="1500">
      <c r="A1500" s="5" t="s">
        <v>4497</v>
      </c>
      <c r="B1500" s="6" t="s">
        <v>4498</v>
      </c>
      <c r="C1500" s="5" t="s">
        <v>7</v>
      </c>
      <c r="D1500" s="5" t="s">
        <v>4499</v>
      </c>
      <c r="E1500" s="3" t="str">
        <f>IFERROR(__xludf.DUMMYFUNCTION("GOOGLETRANSLATE(D1500, ""en"", ""zh-tw"")"),"1. 機場安檢花了兩個小時。 2. 這家商店正在進行清倉大拍賣。 3. 這座橋的淨空高度足以讓大型卡車通行。")</f>
        <v>1. 機場安檢花了兩個小時。 2. 這家商店正在進行清倉大拍賣。 3. 這座橋的淨空高度足以讓大型卡車通行。</v>
      </c>
    </row>
    <row r="1501">
      <c r="A1501" s="5" t="s">
        <v>4500</v>
      </c>
      <c r="B1501" s="6" t="s">
        <v>4501</v>
      </c>
      <c r="C1501" s="5" t="s">
        <v>279</v>
      </c>
      <c r="D1501" s="5" t="s">
        <v>4502</v>
      </c>
      <c r="E1501" s="3" t="str">
        <f>IFERROR(__xludf.DUMMYFUNCTION("GOOGLETRANSLATE(D1501, ""en"", ""zh-tw"")"),"1. 物資採購由採購部門負責。 2. 她在政府採購部門工作。")</f>
        <v>1. 物資採購由採購部門負責。 2. 她在政府採購部門工作。</v>
      </c>
    </row>
    <row r="1502">
      <c r="A1502" s="5" t="s">
        <v>4503</v>
      </c>
      <c r="B1502" s="6" t="s">
        <v>4504</v>
      </c>
      <c r="C1502" s="5" t="s">
        <v>17</v>
      </c>
      <c r="D1502" s="5" t="s">
        <v>4505</v>
      </c>
      <c r="E1502" s="3" t="str">
        <f>IFERROR(__xludf.DUMMYFUNCTION("GOOGLETRANSLATE(D1502, ""en"", ""zh-tw"")"),"1. 他在會議期間看了看手錶。 2. 她收到了一隻手錶作為生日禮物。")</f>
        <v>1. 他在會議期間看了看手錶。 2. 她收到了一隻手錶作為生日禮物。</v>
      </c>
    </row>
    <row r="1503">
      <c r="A1503" s="5" t="s">
        <v>4506</v>
      </c>
      <c r="B1503" s="6" t="s">
        <v>4507</v>
      </c>
      <c r="C1503" s="5" t="s">
        <v>279</v>
      </c>
      <c r="D1503" s="5" t="s">
        <v>4508</v>
      </c>
      <c r="E1503" s="3" t="str">
        <f>IFERROR(__xludf.DUMMYFUNCTION("GOOGLETRANSLATE(D1503, ""en"", ""zh-tw"")"),"原告對該公司提起訴訟。")</f>
        <v>原告對該公司提起訴訟。</v>
      </c>
    </row>
    <row r="1504">
      <c r="A1504" s="5" t="s">
        <v>4509</v>
      </c>
      <c r="B1504" s="6" t="s">
        <v>4510</v>
      </c>
      <c r="C1504" s="5" t="s">
        <v>17</v>
      </c>
      <c r="D1504" s="5" t="s">
        <v>4511</v>
      </c>
      <c r="E1504" s="3" t="str">
        <f>IFERROR(__xludf.DUMMYFUNCTION("GOOGLETRANSLATE(D1504, ""en"", ""zh-tw"")"),"1. 我以優惠價買到了這個包。 2. 他們和賣家討價還價。")</f>
        <v>1. 我以優惠價買到了這個包。 2. 他們和賣家討價還價。</v>
      </c>
    </row>
    <row r="1505">
      <c r="A1505" s="5" t="s">
        <v>4512</v>
      </c>
      <c r="B1505" s="6" t="s">
        <v>4513</v>
      </c>
      <c r="C1505" s="5" t="s">
        <v>7</v>
      </c>
      <c r="D1505" s="5" t="s">
        <v>4514</v>
      </c>
      <c r="E1505" s="3" t="str">
        <f>IFERROR(__xludf.DUMMYFUNCTION("GOOGLETRANSLATE(D1505, ""en"", ""zh-tw"")"),"1. 公司提倡員工健康。 2. 健康計畫包括運動和營養。")</f>
        <v>1. 公司提倡員工健康。 2. 健康計畫包括運動和營養。</v>
      </c>
    </row>
    <row r="1506">
      <c r="A1506" s="5" t="s">
        <v>4515</v>
      </c>
      <c r="B1506" s="6" t="s">
        <v>4516</v>
      </c>
      <c r="C1506" s="5" t="s">
        <v>17</v>
      </c>
      <c r="D1506" s="5" t="s">
        <v>4517</v>
      </c>
      <c r="E1506" s="3" t="str">
        <f>IFERROR(__xludf.DUMMYFUNCTION("GOOGLETRANSLATE(D1506, ""en"", ""zh-tw"")"),"1. 我們中途停了下來。 2. 他在決定上與我達成了部分共識。")</f>
        <v>1. 我們中途停了下來。 2. 他在決定上與我達成了部分共識。</v>
      </c>
    </row>
    <row r="1507">
      <c r="A1507" s="5" t="s">
        <v>4518</v>
      </c>
      <c r="B1507" s="6" t="s">
        <v>4519</v>
      </c>
      <c r="C1507" s="5" t="s">
        <v>7</v>
      </c>
      <c r="D1507" s="5" t="s">
        <v>4520</v>
      </c>
      <c r="E1507" s="3" t="str">
        <f>IFERROR(__xludf.DUMMYFUNCTION("GOOGLETRANSLATE(D1507, ""en"", ""zh-tw"")"),"1. 公司降低了營運成本。 2. 房間裡有一個頂燈。")</f>
        <v>1. 公司降低了營運成本。 2. 房間裡有一個頂燈。</v>
      </c>
    </row>
    <row r="1508">
      <c r="A1508" s="5" t="s">
        <v>4521</v>
      </c>
      <c r="B1508" s="6" t="s">
        <v>4522</v>
      </c>
      <c r="C1508" s="5" t="s">
        <v>17</v>
      </c>
      <c r="D1508" s="5" t="s">
        <v>4523</v>
      </c>
      <c r="E1508" s="3" t="str">
        <f>IFERROR(__xludf.DUMMYFUNCTION("GOOGLETRANSLATE(D1508, ""en"", ""zh-tw"")"),"1. 航班取消導致了延誤。 2. 取消後您將收到退款。")</f>
        <v>1. 航班取消導致了延誤。 2. 取消後您將收到退款。</v>
      </c>
    </row>
    <row r="1509">
      <c r="A1509" s="5" t="s">
        <v>4524</v>
      </c>
      <c r="B1509" s="6" t="s">
        <v>4525</v>
      </c>
      <c r="C1509" s="5" t="s">
        <v>279</v>
      </c>
      <c r="D1509" s="5" t="s">
        <v>4526</v>
      </c>
      <c r="E1509" s="3" t="str">
        <f>IFERROR(__xludf.DUMMYFUNCTION("GOOGLETRANSLATE(D1509, ""en"", ""zh-tw"")"),"1. 她被任命為臨時經理。 2. 在此期間，我們將繼續照常運作。")</f>
        <v>1. 她被任命為臨時經理。 2. 在此期間，我們將繼續照常運作。</v>
      </c>
    </row>
    <row r="1510">
      <c r="A1510" s="5" t="s">
        <v>4527</v>
      </c>
      <c r="B1510" s="6" t="s">
        <v>4528</v>
      </c>
      <c r="C1510" s="5" t="s">
        <v>7</v>
      </c>
      <c r="D1510" s="5" t="s">
        <v>4529</v>
      </c>
      <c r="E1510" s="3" t="str">
        <f>IFERROR(__xludf.DUMMYFUNCTION("GOOGLETRANSLATE(D1510, ""en"", ""zh-tw"")"),"1. 醫生開了抗生素處方給我。 2. 你需要處方才能購買這種藥。")</f>
        <v>1. 醫生開了抗生素處方給我。 2. 你需要處方才能購買這種藥。</v>
      </c>
    </row>
    <row r="1511">
      <c r="A1511" s="5" t="s">
        <v>4530</v>
      </c>
      <c r="B1511" s="6" t="s">
        <v>4531</v>
      </c>
      <c r="C1511" s="5" t="s">
        <v>7</v>
      </c>
      <c r="D1511" s="5" t="s">
        <v>4532</v>
      </c>
      <c r="E1511" s="3" t="str">
        <f>IFERROR(__xludf.DUMMYFUNCTION("GOOGLETRANSLATE(D1511, ""en"", ""zh-tw"")"),"1. 他的論點缺乏邏輯。 2. 她具有很強的邏輯思考能力。")</f>
        <v>1. 他的論點缺乏邏輯。 2. 她具有很強的邏輯思考能力。</v>
      </c>
    </row>
    <row r="1512">
      <c r="A1512" s="5" t="s">
        <v>4533</v>
      </c>
      <c r="B1512" s="6" t="s">
        <v>4534</v>
      </c>
      <c r="C1512" s="5" t="s">
        <v>279</v>
      </c>
      <c r="D1512" s="5" t="s">
        <v>4535</v>
      </c>
      <c r="E1512" s="3" t="str">
        <f>IFERROR(__xludf.DUMMYFUNCTION("GOOGLETRANSLATE(D1512, ""en"", ""zh-tw"")"),"他的論點顯然不合邏輯。")</f>
        <v>他的論點顯然不合邏輯。</v>
      </c>
    </row>
    <row r="1513">
      <c r="A1513" s="5" t="s">
        <v>4536</v>
      </c>
      <c r="B1513" s="6" t="s">
        <v>4537</v>
      </c>
      <c r="C1513" s="5" t="s">
        <v>7</v>
      </c>
      <c r="D1513" s="5" t="s">
        <v>4538</v>
      </c>
      <c r="E1513" s="3" t="str">
        <f>IFERROR(__xludf.DUMMYFUNCTION("GOOGLETRANSLATE(D1513, ""en"", ""zh-tw"")"),"1. 她的推理清晰且合乎邏輯。 2. 這個問題需要很強的分析推理能力。")</f>
        <v>1. 她的推理清晰且合乎邏輯。 2. 這個問題需要很強的分析推理能力。</v>
      </c>
    </row>
    <row r="1514">
      <c r="A1514" s="7" t="s">
        <v>4539</v>
      </c>
      <c r="B1514" s="7" t="s">
        <v>4540</v>
      </c>
      <c r="C1514" s="7" t="s">
        <v>279</v>
      </c>
      <c r="D1514" s="7" t="s">
        <v>4541</v>
      </c>
      <c r="E1514" s="3" t="str">
        <f>IFERROR(__xludf.DUMMYFUNCTION("GOOGLETRANSLATE(D1514, ""en"", ""zh-tw"")"),"1. 該公司估值為1000萬美元。 2. 她在出售房產前要求對其房產進行估值。")</f>
        <v>1. 該公司估值為1000萬美元。 2. 她在出售房產前要求對其房產進行估值。</v>
      </c>
    </row>
    <row r="1515">
      <c r="A1515" s="7" t="s">
        <v>4542</v>
      </c>
      <c r="B1515" s="7" t="s">
        <v>4543</v>
      </c>
      <c r="C1515" s="7" t="s">
        <v>279</v>
      </c>
      <c r="D1515" s="7" t="s">
        <v>4544</v>
      </c>
      <c r="E1515" s="3" t="str">
        <f>IFERROR(__xludf.DUMMYFUNCTION("GOOGLETRANSLATE(D1515, ""en"", ""zh-tw"")"),"1. 登入前需要驗證身分。 2. 博物館已鑑定這幅畫為畢卡索真跡。")</f>
        <v>1. 登入前需要驗證身分。 2. 博物館已鑑定這幅畫為畢卡索真跡。</v>
      </c>
    </row>
    <row r="1516">
      <c r="A1516" s="7" t="s">
        <v>4545</v>
      </c>
      <c r="B1516" s="7" t="s">
        <v>4546</v>
      </c>
      <c r="C1516" s="7" t="s">
        <v>7</v>
      </c>
      <c r="D1516" s="7" t="s">
        <v>4547</v>
      </c>
      <c r="E1516" s="3" t="str">
        <f>IFERROR(__xludf.DUMMYFUNCTION("GOOGLETRANSLATE(D1516, ""en"", ""zh-tw"")"),"1. 她在一家大型廣告公司工作。 2. 近年來，網路廣告發展迅速。")</f>
        <v>1. 她在一家大型廣告公司工作。 2. 近年來，網路廣告發展迅速。</v>
      </c>
    </row>
    <row r="1517">
      <c r="A1517" s="7" t="s">
        <v>4548</v>
      </c>
      <c r="B1517" s="7" t="s">
        <v>4549</v>
      </c>
      <c r="C1517" s="7" t="s">
        <v>7</v>
      </c>
      <c r="D1517" s="7" t="s">
        <v>4550</v>
      </c>
      <c r="E1517" s="3" t="str">
        <f>IFERROR(__xludf.DUMMYFUNCTION("GOOGLETRANSLATE(D1517, ""en"", ""zh-tw"")"),"1. 他為了升職而奉承老闆。 2. 這件裙子真襯你的身材。")</f>
        <v>1. 他為了升職而奉承老闆。 2. 這件裙子真襯你的身材。</v>
      </c>
    </row>
    <row r="1518">
      <c r="A1518" s="7" t="s">
        <v>4551</v>
      </c>
      <c r="B1518" s="7" t="s">
        <v>4552</v>
      </c>
      <c r="C1518" s="7" t="s">
        <v>7</v>
      </c>
      <c r="D1518" s="7" t="s">
        <v>4553</v>
      </c>
      <c r="E1518" s="3" t="str">
        <f>IFERROR(__xludf.DUMMYFUNCTION("GOOGLETRANSLATE(D1518, ""en"", ""zh-tw"")"),"她聘請了一位會計師來管理公司的財務。")</f>
        <v>她聘請了一位會計師來管理公司的財務。</v>
      </c>
    </row>
    <row r="1519">
      <c r="A1519" s="7" t="s">
        <v>4554</v>
      </c>
      <c r="B1519" s="7" t="s">
        <v>4555</v>
      </c>
      <c r="C1519" s="7" t="s">
        <v>7</v>
      </c>
      <c r="D1519" s="7" t="s">
        <v>4556</v>
      </c>
      <c r="E1519" s="3" t="str">
        <f>IFERROR(__xludf.DUMMYFUNCTION("GOOGLETRANSLATE(D1519, ""en"", ""zh-tw"")"),"記帳員準確地記錄了所有日常交易。")</f>
        <v>記帳員準確地記錄了所有日常交易。</v>
      </c>
    </row>
    <row r="1520">
      <c r="A1520" s="7" t="s">
        <v>4557</v>
      </c>
      <c r="B1520" s="7" t="s">
        <v>4558</v>
      </c>
      <c r="C1520" s="7" t="s">
        <v>17</v>
      </c>
      <c r="D1520" s="7" t="s">
        <v>4559</v>
      </c>
      <c r="E1520" s="3" t="str">
        <f>IFERROR(__xludf.DUMMYFUNCTION("GOOGLETRANSLATE(D1520, ""en"", ""zh-tw"")"),"1. 我的信箱裡全是垃圾郵件。 2. 這家公司因為向客戶發送垃圾郵件而被禁播。")</f>
        <v>1. 我的信箱裡全是垃圾郵件。 2. 這家公司因為向客戶發送垃圾郵件而被禁播。</v>
      </c>
    </row>
    <row r="1521">
      <c r="A1521" s="7" t="s">
        <v>4560</v>
      </c>
      <c r="B1521" s="7" t="s">
        <v>4561</v>
      </c>
      <c r="C1521" s="7" t="s">
        <v>7</v>
      </c>
      <c r="D1521" s="7" t="s">
        <v>4562</v>
      </c>
      <c r="E1521" s="3" t="str">
        <f>IFERROR(__xludf.DUMMYFUNCTION("GOOGLETRANSLATE(D1521, ""en"", ""zh-tw"")"),"這間新公寓非常寬敞，採光也很好。")</f>
        <v>這間新公寓非常寬敞，採光也很好。</v>
      </c>
    </row>
    <row r="1522">
      <c r="A1522" s="7" t="s">
        <v>4563</v>
      </c>
      <c r="B1522" s="7" t="s">
        <v>4564</v>
      </c>
      <c r="C1522" s="7" t="s">
        <v>7</v>
      </c>
      <c r="D1522" s="7" t="s">
        <v>4565</v>
      </c>
      <c r="E1522" s="3" t="str">
        <f>IFERROR(__xludf.DUMMYFUNCTION("GOOGLETRANSLATE(D1522, ""en"", ""zh-tw"")"),"辦公室非常狹小，幾乎沒有轉身的空間。")</f>
        <v>辦公室非常狹小，幾乎沒有轉身的空間。</v>
      </c>
    </row>
    <row r="1523">
      <c r="A1523" s="7" t="s">
        <v>4566</v>
      </c>
      <c r="B1523" s="7" t="s">
        <v>4567</v>
      </c>
      <c r="C1523" s="7" t="s">
        <v>7</v>
      </c>
      <c r="D1523" s="7" t="s">
        <v>4568</v>
      </c>
      <c r="E1523" s="3" t="str">
        <f>IFERROR(__xludf.DUMMYFUNCTION("GOOGLETRANSLATE(D1523, ""en"", ""zh-tw"")"),"1. 該公司計劃將員工人數增加20%。 2. 女性佔該國勞動力的一半。")</f>
        <v>1. 該公司計劃將員工人數增加20%。 2. 女性佔該國勞動力的一半。</v>
      </c>
    </row>
    <row r="1524">
      <c r="A1524" s="7" t="s">
        <v>4569</v>
      </c>
      <c r="B1524" s="7" t="s">
        <v>4570</v>
      </c>
      <c r="C1524" s="7" t="s">
        <v>7</v>
      </c>
      <c r="D1524" s="7" t="s">
        <v>4571</v>
      </c>
      <c r="E1524" s="3" t="str">
        <f>IFERROR(__xludf.DUMMYFUNCTION("GOOGLETRANSLATE(D1524, ""en"", ""zh-tw"")"),"1. 我們需要更多頻寬來支援視訊通話。 2. 她現在沒有精力承擔另一個專案。")</f>
        <v>1. 我們需要更多頻寬來支援視訊通話。 2. 她現在沒有精力承擔另一個專案。</v>
      </c>
    </row>
    <row r="1525">
      <c r="A1525" s="7" t="s">
        <v>4572</v>
      </c>
      <c r="B1525" s="7" t="s">
        <v>4573</v>
      </c>
      <c r="C1525" s="7" t="s">
        <v>279</v>
      </c>
      <c r="D1525" s="7" t="s">
        <v>4574</v>
      </c>
      <c r="E1525" s="3" t="str">
        <f>IFERROR(__xludf.DUMMYFUNCTION("GOOGLETRANSLATE(D1525, ""en"", ""zh-tw"")"),"1. 會計每天都會更新帳簿。 2. 所有費用都記錄在公司帳簿中。")</f>
        <v>1. 會計每天都會更新帳簿。 2. 所有費用都記錄在公司帳簿中。</v>
      </c>
    </row>
    <row r="1526">
      <c r="A1526" s="7" t="s">
        <v>4575</v>
      </c>
      <c r="B1526" s="7" t="s">
        <v>4576</v>
      </c>
      <c r="C1526" s="7" t="s">
        <v>279</v>
      </c>
      <c r="D1526" s="7" t="s">
        <v>4577</v>
      </c>
      <c r="E1526" s="3" t="str">
        <f>IFERROR(__xludf.DUMMYFUNCTION("GOOGLETRANSLATE(D1526, ""en"", ""zh-tw"")"),"1. 團隊就新政策達成共識。 2. 人們普遍認為氣候變遷是一個嚴重的問題。")</f>
        <v>1. 團隊就新政策達成共識。 2. 人們普遍認為氣候變遷是一個嚴重的問題。</v>
      </c>
    </row>
    <row r="1527">
      <c r="A1527" s="7" t="s">
        <v>4578</v>
      </c>
      <c r="B1527" s="7" t="s">
        <v>4579</v>
      </c>
      <c r="C1527" s="7" t="s">
        <v>7</v>
      </c>
      <c r="D1527" s="7" t="s">
        <v>4580</v>
      </c>
      <c r="E1527" s="3" t="str">
        <f>IFERROR(__xludf.DUMMYFUNCTION("GOOGLETRANSLATE(D1527, ""en"", ""zh-tw"")"),"1. 這座城市裡兩種文化和諧共存。 2. 合唱團的歌聲完美和諧。")</f>
        <v>1. 這座城市裡兩種文化和諧共存。 2. 合唱團的歌聲完美和諧。</v>
      </c>
    </row>
    <row r="1528">
      <c r="A1528" s="7" t="s">
        <v>4581</v>
      </c>
      <c r="B1528" s="7" t="s">
        <v>4582</v>
      </c>
      <c r="C1528" s="7" t="s">
        <v>17</v>
      </c>
      <c r="D1528" s="7" t="s">
        <v>4583</v>
      </c>
      <c r="E1528" s="3" t="str">
        <f>IFERROR(__xludf.DUMMYFUNCTION("GOOGLETRANSLATE(D1528, ""en"", ""zh-tw"")"),"1. 包裹將隔夜送達。 2. 影片走紅後，她一夕成名。 3. 他為出差準備了一個過夜包。")</f>
        <v>1. 包裹將隔夜送達。 2. 影片走紅後，她一夕成名。 3. 他為出差準備了一個過夜包。</v>
      </c>
    </row>
    <row r="1529">
      <c r="A1529" s="7" t="s">
        <v>4584</v>
      </c>
      <c r="B1529" s="7" t="s">
        <v>4585</v>
      </c>
      <c r="C1529" s="7" t="s">
        <v>17</v>
      </c>
      <c r="D1529" s="7" t="s">
        <v>4586</v>
      </c>
      <c r="E1529" s="3" t="str">
        <f>IFERROR(__xludf.DUMMYFUNCTION("GOOGLETRANSLATE(D1529, ""en"", ""zh-tw"")"),"醫院為無法行走的病人提供輪椅。")</f>
        <v>醫院為無法行走的病人提供輪椅。</v>
      </c>
    </row>
    <row r="1530">
      <c r="A1530" s="7" t="s">
        <v>4587</v>
      </c>
      <c r="B1530" s="7" t="s">
        <v>4588</v>
      </c>
      <c r="C1530" s="7" t="s">
        <v>7</v>
      </c>
      <c r="D1530" s="7" t="s">
        <v>4589</v>
      </c>
      <c r="E1530" s="3" t="str">
        <f>IFERROR(__xludf.DUMMYFUNCTION("GOOGLETRANSLATE(D1530, ""en"", ""zh-tw"")"),"1. 我在餐廳預訂了兩人位。 2. 她對接受這份工作有些猶豫。 3. 美洲原住民居住在保留區。")</f>
        <v>1. 我在餐廳預訂了兩人位。 2. 她對接受這份工作有些猶豫。 3. 美洲原住民居住在保留區。</v>
      </c>
    </row>
    <row r="1531">
      <c r="A1531" s="7" t="s">
        <v>4590</v>
      </c>
      <c r="B1531" s="7" t="s">
        <v>4591</v>
      </c>
      <c r="C1531" s="7" t="s">
        <v>17</v>
      </c>
      <c r="D1531" s="7" t="s">
        <v>4592</v>
      </c>
      <c r="E1531" s="3" t="str">
        <f>IFERROR(__xludf.DUMMYFUNCTION("GOOGLETRANSLATE(D1531, ""en"", ""zh-tw"")"),"她去藥房取藥。")</f>
        <v>她去藥房取藥。</v>
      </c>
    </row>
    <row r="1532">
      <c r="A1532" s="7" t="s">
        <v>4593</v>
      </c>
      <c r="B1532" s="7" t="s">
        <v>4594</v>
      </c>
      <c r="C1532" s="7" t="s">
        <v>7</v>
      </c>
      <c r="D1532" s="7" t="s">
        <v>4595</v>
      </c>
      <c r="E1532" s="3" t="str">
        <f>IFERROR(__xludf.DUMMYFUNCTION("GOOGLETRANSLATE(D1532, ""en"", ""zh-tw"")"),"1. 她經常旅行，每年都會去很多國家。 2. 他每天早上都會​​去那家咖啡館。")</f>
        <v>1. 她經常旅行，每年都會去很多國家。 2. 他每天早上都會​​去那家咖啡館。</v>
      </c>
    </row>
    <row r="1533">
      <c r="A1533" s="7" t="s">
        <v>4596</v>
      </c>
      <c r="B1533" s="7" t="s">
        <v>4597</v>
      </c>
      <c r="C1533" s="7" t="s">
        <v>7</v>
      </c>
      <c r="D1533" s="7" t="s">
        <v>4598</v>
      </c>
      <c r="E1533" s="3" t="str">
        <f>IFERROR(__xludf.DUMMYFUNCTION("GOOGLETRANSLATE(D1533, ""en"", ""zh-tw"")"),"1. 她請求他重新考慮辭職的決定。 2. 新的證據出現後，法官同意重新審理此案。")</f>
        <v>1. 她請求他重新考慮辭職的決定。 2. 新的證據出現後，法官同意重新審理此案。</v>
      </c>
    </row>
    <row r="1534">
      <c r="A1534" s="7" t="s">
        <v>4599</v>
      </c>
      <c r="B1534" s="7" t="s">
        <v>4600</v>
      </c>
      <c r="C1534" s="7" t="s">
        <v>7</v>
      </c>
      <c r="D1534" s="7" t="s">
        <v>4601</v>
      </c>
      <c r="E1534" s="3" t="str">
        <f>IFERROR(__xludf.DUMMYFUNCTION("GOOGLETRANSLATE(D1534, ""en"", ""zh-tw"")"),"1. 所有員工都必須出席年度會議。 2. 她出席了簽約儀式。")</f>
        <v>1. 所有員工都必須出席年度會議。 2. 她出席了簽約儀式。</v>
      </c>
    </row>
    <row r="1535">
      <c r="A1535" s="7" t="s">
        <v>4602</v>
      </c>
      <c r="B1535" s="7" t="s">
        <v>4603</v>
      </c>
      <c r="C1535" s="7" t="s">
        <v>17</v>
      </c>
      <c r="D1535" s="7" t="s">
        <v>4604</v>
      </c>
      <c r="E1535" s="3" t="str">
        <f>IFERROR(__xludf.DUMMYFUNCTION("GOOGLETRANSLATE(D1535, ""en"", ""zh-tw"")"),"她和辦公室裡的所有同事相處得很好。")</f>
        <v>她和辦公室裡的所有同事相處得很好。</v>
      </c>
    </row>
    <row r="1536">
      <c r="A1536" s="7" t="s">
        <v>4605</v>
      </c>
      <c r="B1536" s="7" t="s">
        <v>4606</v>
      </c>
      <c r="C1536" s="7" t="s">
        <v>7</v>
      </c>
      <c r="D1536" s="7" t="s">
        <v>4607</v>
      </c>
      <c r="E1536" s="3" t="str">
        <f>IFERROR(__xludf.DUMMYFUNCTION("GOOGLETRANSLATE(D1536, ""en"", ""zh-tw"")"),"1. 公車票價比去年上漲了。 2. 這家餐廳提供多種當​​地特色菜。 3. 你考試考得怎麼樣？")</f>
        <v>1. 公車票價比去年上漲了。 2. 這家餐廳提供多種當​​地特色菜。 3. 你考試考得怎麼樣？</v>
      </c>
    </row>
    <row r="1537">
      <c r="A1537" s="7" t="s">
        <v>4608</v>
      </c>
      <c r="B1537" s="7" t="s">
        <v>4609</v>
      </c>
      <c r="C1537" s="7" t="s">
        <v>7</v>
      </c>
      <c r="D1537" s="7" t="s">
        <v>4610</v>
      </c>
      <c r="E1537" s="3" t="str">
        <f>IFERROR(__xludf.DUMMYFUNCTION("GOOGLETRANSLATE(D1537, ""en"", ""zh-tw"")"),"1. 她上週末贏得了網球比賽。 2. 學校下個月將舉辦一場西洋棋比賽。")</f>
        <v>1. 她上週末贏得了網球比賽。 2. 學校下個月將舉辦一場西洋棋比賽。</v>
      </c>
    </row>
    <row r="1538">
      <c r="A1538" s="7" t="s">
        <v>4611</v>
      </c>
      <c r="B1538" s="7" t="s">
        <v>4612</v>
      </c>
      <c r="C1538" s="7" t="s">
        <v>7</v>
      </c>
      <c r="D1538" s="7" t="s">
        <v>4613</v>
      </c>
      <c r="E1538" s="3" t="str">
        <f>IFERROR(__xludf.DUMMYFUNCTION("GOOGLETRANSLATE(D1538, ""en"", ""zh-tw"")"),"1. 善良是她最優秀的特質之一。 2. 麵包店特有的香味瀰漫了整條街道。")</f>
        <v>1. 善良是她最優秀的特質之一。 2. 麵包店特有的香味瀰漫了整條街道。</v>
      </c>
    </row>
    <row r="1539">
      <c r="A1539" s="7" t="s">
        <v>4614</v>
      </c>
      <c r="B1539" s="7" t="s">
        <v>4615</v>
      </c>
      <c r="C1539" s="7" t="s">
        <v>279</v>
      </c>
      <c r="D1539" s="7" t="s">
        <v>4616</v>
      </c>
      <c r="E1539" s="3" t="str">
        <f>IFERROR(__xludf.DUMMYFUNCTION("GOOGLETRANSLATE(D1539, ""en"", ""zh-tw"")"),"1. 政府計劃投資國家基礎建設。 2. 基礎建設落後阻礙了企業發展。")</f>
        <v>1. 政府計劃投資國家基礎建設。 2. 基礎建設落後阻礙了企業發展。</v>
      </c>
    </row>
    <row r="1540">
      <c r="A1540" s="7" t="s">
        <v>4617</v>
      </c>
      <c r="B1540" s="7" t="s">
        <v>4618</v>
      </c>
      <c r="C1540" s="7" t="s">
        <v>7</v>
      </c>
      <c r="D1540" s="7" t="s">
        <v>4619</v>
      </c>
      <c r="E1540" s="3" t="str">
        <f>IFERROR(__xludf.DUMMYFUNCTION("GOOGLETRANSLATE(D1540, ""en"", ""zh-tw"")"),"1. 她在服飾店做零售工作。 2. 這台筆記型電腦的零售價是1200美元。 3. 該產品在網路上的零售價是50美元。")</f>
        <v>1. 她在服飾店做零售工作。 2. 這台筆記型電腦的零售價是1200美元。 3. 該產品在網路上的零售價是50美元。</v>
      </c>
    </row>
    <row r="1541">
      <c r="A1541" s="7" t="s">
        <v>4620</v>
      </c>
      <c r="B1541" s="7" t="s">
        <v>4621</v>
      </c>
      <c r="C1541" s="7" t="s">
        <v>7</v>
      </c>
      <c r="D1541" s="7" t="s">
        <v>4622</v>
      </c>
      <c r="E1541" s="3" t="str">
        <f>IFERROR(__xludf.DUMMYFUNCTION("GOOGLETRANSLATE(D1541, ""en"", ""zh-tw"")"),"1. 嚴禁未經授權存取系統。 2. 該員工因擅自購物而被解僱。")</f>
        <v>1. 嚴禁未經授權存取系統。 2. 該員工因擅自購物而被解僱。</v>
      </c>
    </row>
    <row r="1542">
      <c r="A1542" s="7" t="s">
        <v>4623</v>
      </c>
      <c r="B1542" s="7" t="s">
        <v>4624</v>
      </c>
      <c r="C1542" s="7" t="s">
        <v>7</v>
      </c>
      <c r="D1542" s="7" t="s">
        <v>4625</v>
      </c>
      <c r="E1542" s="3" t="str">
        <f>IFERROR(__xludf.DUMMYFUNCTION("GOOGLETRANSLATE(D1542, ""en"", ""zh-tw"")"),"1. 會議前我們先一起看這份報告。 2. 該項目超支了10%。")</f>
        <v>1. 會議前我們先一起看這份報告。 2. 該項目超支了10%。</v>
      </c>
    </row>
    <row r="1543">
      <c r="A1543" s="7" t="s">
        <v>4626</v>
      </c>
      <c r="B1543" s="7" t="s">
        <v>4627</v>
      </c>
      <c r="C1543" s="7" t="s">
        <v>17</v>
      </c>
      <c r="D1543" s="7" t="s">
        <v>4628</v>
      </c>
      <c r="E1543" s="3" t="str">
        <f>IFERROR(__xludf.DUMMYFUNCTION("GOOGLETRANSLATE(D1543, ""en"", ""zh-tw"")"),"1. 我們搭地鐵去博物館，這樣比較快。 2. 她住在城市的地鐵區域內。")</f>
        <v>1. 我們搭地鐵去博物館，這樣比較快。 2. 她住在城市的地鐵區域內。</v>
      </c>
    </row>
    <row r="1544">
      <c r="A1544" s="7" t="s">
        <v>4629</v>
      </c>
      <c r="B1544" s="7" t="s">
        <v>4630</v>
      </c>
      <c r="C1544" s="7" t="s">
        <v>7</v>
      </c>
      <c r="D1544" s="7" t="s">
        <v>4631</v>
      </c>
      <c r="E1544" s="3" t="str">
        <f>IFERROR(__xludf.DUMMYFUNCTION("GOOGLETRANSLATE(D1544, ""en"", ""zh-tw"")"),"1. 公司重新檢視了新產品的定價策略。 2. 具有競爭力的價格是吸引顧客的關鍵。")</f>
        <v>1. 公司重新檢視了新產品的定價策略。 2. 具有競爭力的價格是吸引顧客的關鍵。</v>
      </c>
    </row>
    <row r="1545">
      <c r="A1545" s="7" t="s">
        <v>4632</v>
      </c>
      <c r="B1545" s="7" t="s">
        <v>4633</v>
      </c>
      <c r="C1545" s="7" t="s">
        <v>17</v>
      </c>
      <c r="D1545" s="7" t="s">
        <v>4634</v>
      </c>
      <c r="E1545" s="3" t="str">
        <f>IFERROR(__xludf.DUMMYFUNCTION("GOOGLETRANSLATE(D1545, ""en"", ""zh-tw"")"),"1. 她為了節省時間搭乘了特快列車。 2. 他透過快遞寄出了包裹。 3. 清楚表達自己的感受很重要。")</f>
        <v>1. 她為了節省時間搭乘了特快列車。 2. 他透過快遞寄出了包裹。 3. 清楚表達自己的感受很重要。</v>
      </c>
    </row>
    <row r="1546">
      <c r="A1546" s="7" t="s">
        <v>4635</v>
      </c>
      <c r="B1546" s="7" t="s">
        <v>4636</v>
      </c>
      <c r="C1546" s="7" t="s">
        <v>17</v>
      </c>
      <c r="D1546" s="7" t="s">
        <v>4637</v>
      </c>
      <c r="E1546" s="3" t="str">
        <f>IFERROR(__xludf.DUMMYFUNCTION("GOOGLETRANSLATE(D1546, ""en"", ""zh-tw"")"),"1. 這座城市的公共交通非常便利。 2. 公司為員工提供交通服務。")</f>
        <v>1. 這座城市的公共交通非常便利。 2. 公司為員工提供交通服務。</v>
      </c>
    </row>
    <row r="1547">
      <c r="A1547" s="7" t="s">
        <v>4638</v>
      </c>
      <c r="B1547" s="7" t="s">
        <v>4639</v>
      </c>
      <c r="C1547" s="7" t="s">
        <v>7</v>
      </c>
      <c r="D1547" s="7" t="s">
        <v>4640</v>
      </c>
      <c r="E1547" s="3" t="str">
        <f>IFERROR(__xludf.DUMMYFUNCTION("GOOGLETRANSLATE(D1547, ""en"", ""zh-tw"")"),"1. 她個性非常外向，喜歡認識新朋友。 2. 即將卸任的總統發表了告別演說。")</f>
        <v>1. 她個性非常外向，喜歡認識新朋友。 2. 即將卸任的總統發表了告別演說。</v>
      </c>
    </row>
    <row r="1548">
      <c r="A1548" s="7" t="s">
        <v>4641</v>
      </c>
      <c r="B1548" s="7" t="s">
        <v>4642</v>
      </c>
      <c r="C1548" s="7" t="s">
        <v>7</v>
      </c>
      <c r="D1548" s="7" t="s">
        <v>4643</v>
      </c>
      <c r="E1548" s="3" t="str">
        <f>IFERROR(__xludf.DUMMYFUNCTION("GOOGLETRANSLATE(D1548, ""en"", ""zh-tw"")"),"1. 農村地區護理人員短缺。 2. 乾旱導致清潔用水短缺。")</f>
        <v>1. 農村地區護理人員短缺。 2. 乾旱導致清潔用水短缺。</v>
      </c>
    </row>
    <row r="1549">
      <c r="A1549" s="7" t="s">
        <v>4644</v>
      </c>
      <c r="B1549" s="7" t="s">
        <v>4645</v>
      </c>
      <c r="C1549" s="7" t="s">
        <v>7</v>
      </c>
      <c r="D1549" s="7" t="s">
        <v>4646</v>
      </c>
      <c r="E1549" s="3" t="str">
        <f>IFERROR(__xludf.DUMMYFUNCTION("GOOGLETRANSLATE(D1549, ""en"", ""zh-tw"")"),"1. 她詢問了招募資訊。 2. 警方對這起事故展開了調查。")</f>
        <v>1. 她詢問了招募資訊。 2. 警方對這起事故展開了調查。</v>
      </c>
    </row>
    <row r="1550">
      <c r="A1550" s="7" t="s">
        <v>4647</v>
      </c>
      <c r="B1550" s="7" t="s">
        <v>4648</v>
      </c>
      <c r="C1550" s="7" t="s">
        <v>17</v>
      </c>
      <c r="D1550" s="7" t="s">
        <v>4649</v>
      </c>
      <c r="E1550" s="3" t="str">
        <f>IFERROR(__xludf.DUMMYFUNCTION("GOOGLETRANSLATE(D1550, ""en"", ""zh-tw"")"),"1. 他穿著西裝去參加面試。 2. 她起訴了這家公司。 3. 這個日程安排對每個人都非常合適。")</f>
        <v>1. 他穿著西裝去參加面試。 2. 她起訴了這家公司。 3. 這個日程安排對每個人都非常合適。</v>
      </c>
    </row>
    <row r="1551">
      <c r="A1551" s="7" t="s">
        <v>4650</v>
      </c>
      <c r="B1551" s="7" t="s">
        <v>4651</v>
      </c>
      <c r="C1551" s="7" t="s">
        <v>279</v>
      </c>
      <c r="D1551" s="7" t="s">
        <v>4652</v>
      </c>
      <c r="E1551" s="3" t="str">
        <f>IFERROR(__xludf.DUMMYFUNCTION("GOOGLETRANSLATE(D1551, ""en"", ""zh-tw"")"),"1. 社群媒體是學生學習時的主要幹擾因素。 2. 在選擇題考試中，錯誤的選項稱為幹擾項。")</f>
        <v>1. 社群媒體是學生學習時的主要幹擾因素。 2. 在選擇題考試中，錯誤的選項稱為幹擾項。</v>
      </c>
    </row>
    <row r="1552">
      <c r="A1552" s="7" t="s">
        <v>4653</v>
      </c>
      <c r="B1552" s="7" t="s">
        <v>4654</v>
      </c>
      <c r="C1552" s="7" t="s">
        <v>7</v>
      </c>
      <c r="D1552" s="7" t="s">
        <v>4655</v>
      </c>
      <c r="E1552" s="3" t="str">
        <f>IFERROR(__xludf.DUMMYFUNCTION("GOOGLETRANSLATE(D1552, ""en"", ""zh-tw"")"),"1. 她將於下個月接任經理一職。 2. 合併後，新公司接手了所有營運業務。")</f>
        <v>1. 她將於下個月接任經理一職。 2. 合併後，新公司接手了所有營運業務。</v>
      </c>
    </row>
    <row r="1553">
      <c r="A1553" s="7" t="s">
        <v>4656</v>
      </c>
      <c r="B1553" s="7" t="s">
        <v>4657</v>
      </c>
      <c r="C1553" s="7" t="s">
        <v>7</v>
      </c>
      <c r="D1553" s="7" t="s">
        <v>4658</v>
      </c>
      <c r="E1553" s="3" t="str">
        <f>IFERROR(__xludf.DUMMYFUNCTION("GOOGLETRANSLATE(D1553, ""en"", ""zh-tw"")"),"1. 他們住在一個舒適的山間小屋。 2. 他向飯店經理投訴了。 3. 她在旅行期間住在當地旅館。")</f>
        <v>1. 他們住在一個舒適的山間小屋。 2. 他向飯店經理投訴了。 3. 她在旅行期間住在當地旅館。</v>
      </c>
    </row>
    <row r="1554">
      <c r="A1554" s="7" t="s">
        <v>4659</v>
      </c>
      <c r="B1554" s="7" t="s">
        <v>4660</v>
      </c>
      <c r="C1554" s="7" t="s">
        <v>17</v>
      </c>
      <c r="D1554" s="7" t="s">
        <v>4661</v>
      </c>
      <c r="E1554" s="3" t="str">
        <f>IFERROR(__xludf.DUMMYFUNCTION("GOOGLETRANSLATE(D1554, ""en"", ""zh-tw"")"),"收銀員迅速掃描了所有商品，並將收據交給了顧客。")</f>
        <v>收銀員迅速掃描了所有商品，並將收據交給了顧客。</v>
      </c>
    </row>
    <row r="1555">
      <c r="A1555" s="7" t="s">
        <v>4662</v>
      </c>
      <c r="B1555" s="7" t="s">
        <v>4663</v>
      </c>
      <c r="C1555" s="7" t="s">
        <v>7</v>
      </c>
      <c r="D1555" s="7" t="s">
        <v>4664</v>
      </c>
      <c r="E1555" s="3" t="str">
        <f>IFERROR(__xludf.DUMMYFUNCTION("GOOGLETRANSLATE(D1555, ""en"", ""zh-tw"")"),"1. 專案時間表列出了所有重要截止日期。 2. 您能告訴我這個專案大概什麼時候能完成嗎？")</f>
        <v>1. 專案時間表列出了所有重要截止日期。 2. 您能告訴我這個專案大概什麼時候能完成嗎？</v>
      </c>
    </row>
    <row r="1556">
      <c r="A1556" s="7" t="s">
        <v>4665</v>
      </c>
      <c r="B1556" s="7" t="s">
        <v>4666</v>
      </c>
      <c r="C1556" s="7" t="s">
        <v>7</v>
      </c>
      <c r="D1556" s="7" t="s">
        <v>4667</v>
      </c>
      <c r="E1556" s="3" t="str">
        <f>IFERROR(__xludf.DUMMYFUNCTION("GOOGLETRANSLATE(D1556, ""en"", ""zh-tw"")"),"1. 由於健康狀況，她嚴格遵守飲食指南。 2. 這家餐廳提供滿足各種飲食需求的菜餚。")</f>
        <v>1. 由於健康狀況，她嚴格遵守飲食指南。 2. 這家餐廳提供滿足各種飲食需求的菜餚。</v>
      </c>
    </row>
    <row r="1557">
      <c r="A1557" s="7" t="s">
        <v>4668</v>
      </c>
      <c r="B1557" s="7" t="s">
        <v>4669</v>
      </c>
      <c r="C1557" s="7" t="s">
        <v>7</v>
      </c>
      <c r="D1557" s="7" t="s">
        <v>4670</v>
      </c>
      <c r="E1557" s="3" t="str">
        <f>IFERROR(__xludf.DUMMYFUNCTION("GOOGLETRANSLATE(D1557, ""en"", ""zh-tw"")"),"1. 蔬菜的營養價值很高。 2. 購買產品前請先查看營養標示。")</f>
        <v>1. 蔬菜的營養價值很高。 2. 購買產品前請先查看營養標示。</v>
      </c>
    </row>
    <row r="1558">
      <c r="A1558" s="7" t="s">
        <v>4671</v>
      </c>
      <c r="B1558" s="7" t="s">
        <v>4672</v>
      </c>
      <c r="C1558" s="7" t="s">
        <v>17</v>
      </c>
      <c r="D1558" s="7" t="s">
        <v>4673</v>
      </c>
      <c r="E1558" s="3" t="str">
        <f>IFERROR(__xludf.DUMMYFUNCTION("GOOGLETRANSLATE(D1558, ""en"", ""zh-tw"")"),"1. 雨天健行前，請確保你的外套防水。 2. 他們對地下室進行了防水處理，以防止洪水侵襲。")</f>
        <v>1. 雨天健行前，請確保你的外套防水。 2. 他們對地下室進行了防水處理，以防止洪水侵襲。</v>
      </c>
    </row>
    <row r="1559">
      <c r="A1559" s="7" t="s">
        <v>4674</v>
      </c>
      <c r="B1559" s="7" t="s">
        <v>4675</v>
      </c>
      <c r="C1559" s="7" t="s">
        <v>17</v>
      </c>
      <c r="D1559" s="7" t="s">
        <v>4676</v>
      </c>
      <c r="E1559" s="3" t="str">
        <f>IFERROR(__xludf.DUMMYFUNCTION("GOOGLETRANSLATE(D1559, ""en"", ""zh-tw"")"),"1. 請在周五之前交作業。 2. 她因為太累了，所以提前交了作業。")</f>
        <v>1. 請在周五之前交作業。 2. 她因為太累了，所以提前交了作業。</v>
      </c>
    </row>
    <row r="1560">
      <c r="A1560" s="7" t="s">
        <v>4677</v>
      </c>
      <c r="B1560" s="7" t="s">
        <v>4678</v>
      </c>
      <c r="C1560" s="7" t="s">
        <v>7</v>
      </c>
      <c r="D1560" s="7" t="s">
        <v>4679</v>
      </c>
      <c r="E1560" s="3" t="str">
        <f>IFERROR(__xludf.DUMMYFUNCTION("GOOGLETRANSLATE(D1560, ""en"", ""zh-tw"")"),"1. 經過數小時的談判，他們達成了妥協。 2. 永遠不要為了他人而放棄自己的原則。 3. 資料外洩危及了​​系統的安全。")</f>
        <v>1. 經過數小時的談判，他們達成了妥協。 2. 永遠不要為了他人而放棄自己的原則。 3. 資料外洩危及了​​系統的安全。</v>
      </c>
    </row>
    <row r="1561">
      <c r="A1561" s="7" t="s">
        <v>4680</v>
      </c>
      <c r="B1561" s="7" t="s">
        <v>4681</v>
      </c>
      <c r="C1561" s="7" t="s">
        <v>7</v>
      </c>
      <c r="D1561" s="7" t="s">
        <v>4682</v>
      </c>
      <c r="E1561" s="3" t="str">
        <f>IFERROR(__xludf.DUMMYFUNCTION("GOOGLETRANSLATE(D1561, ""en"", ""zh-tw"")"),"1. 一夜之間氣溫驟降。 2. 她嚴厲地斥責了犯錯的員工。")</f>
        <v>1. 一夜之間氣溫驟降。 2. 她嚴厲地斥責了犯錯的員工。</v>
      </c>
    </row>
    <row r="1562">
      <c r="A1562" s="7" t="s">
        <v>4683</v>
      </c>
      <c r="B1562" s="7" t="s">
        <v>4684</v>
      </c>
      <c r="C1562" s="7" t="s">
        <v>17</v>
      </c>
      <c r="D1562" s="7" t="s">
        <v>4685</v>
      </c>
      <c r="E1562" s="3" t="str">
        <f>IFERROR(__xludf.DUMMYFUNCTION("GOOGLETRANSLATE(D1562, ""en"", ""zh-tw"")"),"1. 天氣在一天中逐漸好轉。 2. 她逐漸適應了在國外的生活。")</f>
        <v>1. 天氣在一天中逐漸好轉。 2. 她逐漸適應了在國外的生活。</v>
      </c>
    </row>
    <row r="1563">
      <c r="A1563" s="7" t="s">
        <v>4686</v>
      </c>
      <c r="B1563" s="7" t="s">
        <v>4687</v>
      </c>
      <c r="C1563" s="7" t="s">
        <v>17</v>
      </c>
      <c r="D1563" s="7" t="s">
        <v>4688</v>
      </c>
      <c r="E1563" s="3" t="str">
        <f>IFERROR(__xludf.DUMMYFUNCTION("GOOGLETRANSLATE(D1563, ""en"", ""zh-tw"")"),"1. 她已經吃素十年了。 2. 這家餐廳提供素食菜單。")</f>
        <v>1. 她已經吃素十年了。 2. 這家餐廳提供素食菜單。</v>
      </c>
    </row>
    <row r="1564">
      <c r="A1564" s="7" t="s">
        <v>4689</v>
      </c>
      <c r="B1564" s="7" t="s">
        <v>4690</v>
      </c>
      <c r="C1564" s="7" t="s">
        <v>7</v>
      </c>
      <c r="D1564" s="7" t="s">
        <v>4691</v>
      </c>
      <c r="E1564" s="3" t="str">
        <f>IFERROR(__xludf.DUMMYFUNCTION("GOOGLETRANSLATE(D1564, ""en"", ""zh-tw"")"),"1. 學校組織了一個去科學博物館的參觀活動。 2. 他們到附近的一個島嶼進行了一日遊。")</f>
        <v>1. 學校組織了一個去科學博物館的參觀活動。 2. 他們到附近的一個島嶼進行了一日遊。</v>
      </c>
    </row>
    <row r="1565">
      <c r="A1565" s="7" t="s">
        <v>4692</v>
      </c>
      <c r="B1565" s="7" t="s">
        <v>4693</v>
      </c>
      <c r="C1565" s="7" t="s">
        <v>7</v>
      </c>
      <c r="D1565" s="7" t="s">
        <v>4694</v>
      </c>
      <c r="E1565" s="3" t="str">
        <f>IFERROR(__xludf.DUMMYFUNCTION("GOOGLETRANSLATE(D1565, ""en"", ""zh-tw"")"),"1. 請驗證您的電子郵件地址以完成註冊。 2. 警方核實了嫌疑人的不在場證明。")</f>
        <v>1. 請驗證您的電子郵件地址以完成註冊。 2. 警方核實了嫌疑人的不在場證明。</v>
      </c>
    </row>
    <row r="1566">
      <c r="A1566" s="7" t="s">
        <v>4695</v>
      </c>
      <c r="B1566" s="7" t="s">
        <v>4696</v>
      </c>
      <c r="C1566" s="7" t="s">
        <v>7</v>
      </c>
      <c r="D1566" s="7" t="s">
        <v>4697</v>
      </c>
      <c r="E1566" s="3" t="str">
        <f>IFERROR(__xludf.DUMMYFUNCTION("GOOGLETRANSLATE(D1566, ""en"", ""zh-tw"")"),"1. 服務生不小心少收了我們的餐費。 2. 商店少收了她5美元。")</f>
        <v>1. 服務生不小心少收了我們的餐費。 2. 商店少收了她5美元。</v>
      </c>
    </row>
    <row r="1567">
      <c r="A1567" s="7" t="s">
        <v>4698</v>
      </c>
      <c r="B1567" s="7" t="s">
        <v>4699</v>
      </c>
      <c r="C1567" s="7" t="s">
        <v>7</v>
      </c>
      <c r="D1567" s="7" t="s">
        <v>4700</v>
      </c>
      <c r="E1567" s="3" t="str">
        <f>IFERROR(__xludf.DUMMYFUNCTION("GOOGLETRANSLATE(D1567, ""en"", ""zh-tw"")"),"1. 這本書已經逾期未還，我需要歸還。 2. 員工早就該加薪了。")</f>
        <v>1. 這本書已經逾期未還，我需要歸還。 2. 員工早就該加薪了。</v>
      </c>
    </row>
    <row r="1568">
      <c r="A1568" s="7" t="s">
        <v>4701</v>
      </c>
      <c r="B1568" s="7" t="s">
        <v>4702</v>
      </c>
      <c r="C1568" s="7" t="s">
        <v>279</v>
      </c>
      <c r="D1568" s="7" t="s">
        <v>4703</v>
      </c>
      <c r="E1568" s="3" t="str">
        <f>IFERROR(__xludf.DUMMYFUNCTION("GOOGLETRANSLATE(D1568, ""en"", ""zh-tw"")"),"1. 現在很多員工每週至少遠距辦公兩天。 2. 她是在疫情後開始遠距辦公的。")</f>
        <v>1. 現在很多員工每週至少遠距辦公兩天。 2. 她是在疫情後開始遠距辦公的。</v>
      </c>
    </row>
    <row r="1569">
      <c r="A1569" s="7" t="s">
        <v>4704</v>
      </c>
      <c r="B1569" s="7" t="s">
        <v>4705</v>
      </c>
      <c r="C1569" s="7" t="s">
        <v>17</v>
      </c>
      <c r="D1569" s="7" t="s">
        <v>4706</v>
      </c>
      <c r="E1569" s="3" t="str">
        <f>IFERROR(__xludf.DUMMYFUNCTION("GOOGLETRANSLATE(D1569, ""en"", ""zh-tw"")"),"1. 她上週末參加了一個寫作工作坊。 2. 這位木匠每天晚上都在他的工作室工作。")</f>
        <v>1. 她上週末參加了一個寫作工作坊。 2. 這位木匠每天晚上都在他的工作室工作。</v>
      </c>
    </row>
    <row r="1570">
      <c r="A1570" s="7" t="s">
        <v>4707</v>
      </c>
      <c r="B1570" s="7" t="s">
        <v>4708</v>
      </c>
      <c r="C1570" s="7" t="s">
        <v>7</v>
      </c>
      <c r="D1570" s="7" t="s">
        <v>4709</v>
      </c>
      <c r="E1570" s="3" t="str">
        <f>IFERROR(__xludf.DUMMYFUNCTION("GOOGLETRANSLATE(D1570, ""en"", ""zh-tw"")"),"1. 艾菲爾鐵塔是世界上最著名的地標之一。 2. 和平協議是歷史上的里程碑事件。")</f>
        <v>1. 艾菲爾鐵塔是世界上最著名的地標之一。 2. 和平協議是歷史上的里程碑事件。</v>
      </c>
    </row>
    <row r="1571">
      <c r="A1571" s="7" t="s">
        <v>4710</v>
      </c>
      <c r="B1571" s="7" t="s">
        <v>4711</v>
      </c>
      <c r="C1571" s="7" t="s">
        <v>279</v>
      </c>
      <c r="D1571" s="7" t="s">
        <v>4712</v>
      </c>
      <c r="E1571" s="3" t="str">
        <f>IFERROR(__xludf.DUMMYFUNCTION("GOOGLETRANSLATE(D1571, ""en"", ""zh-tw"")"),"1. 三天后，談判陷入僵局。 2. 雙方在薪資問題上陷入僵局。")</f>
        <v>1. 三天后，談判陷入僵局。 2. 雙方在薪資問題上陷入僵局。</v>
      </c>
    </row>
    <row r="1572">
      <c r="A1572" s="7" t="s">
        <v>4713</v>
      </c>
      <c r="B1572" s="7" t="s">
        <v>4714</v>
      </c>
      <c r="C1572" s="7" t="s">
        <v>279</v>
      </c>
      <c r="D1572" s="7" t="s">
        <v>4715</v>
      </c>
      <c r="E1572" s="3" t="str">
        <f>IFERROR(__xludf.DUMMYFUNCTION("GOOGLETRANSLATE(D1572, ""en"", ""zh-tw"")"),"1. 由於事故，交通陷入癱瘓。 2. 該項目因等待資金而停滯不前。")</f>
        <v>1. 由於事故，交通陷入癱瘓。 2. 該項目因等待資金而停滯不前。</v>
      </c>
    </row>
    <row r="1573">
      <c r="A1573" s="7" t="s">
        <v>4716</v>
      </c>
      <c r="B1573" s="7" t="s">
        <v>4717</v>
      </c>
      <c r="C1573" s="7" t="s">
        <v>279</v>
      </c>
      <c r="D1573" s="7" t="s">
        <v>4718</v>
      </c>
      <c r="E1573" s="3" t="str">
        <f>IFERROR(__xludf.DUMMYFUNCTION("GOOGLETRANSLATE(D1573, ""en"", ""zh-tw"")"),"1. 和平談判陷入僵局。 2. 這盤西洋棋下了40步後也陷入了僵局。")</f>
        <v>1. 和平談判陷入僵局。 2. 這盤西洋棋下了40步後也陷入了僵局。</v>
      </c>
    </row>
    <row r="1574">
      <c r="A1574" s="7" t="s">
        <v>4719</v>
      </c>
      <c r="B1574" s="7" t="s">
        <v>4720</v>
      </c>
      <c r="C1574" s="7" t="s">
        <v>7</v>
      </c>
      <c r="D1574" s="7" t="s">
        <v>4721</v>
      </c>
      <c r="E1574" s="3" t="str">
        <f>IFERROR(__xludf.DUMMYFUNCTION("GOOGLETRANSLATE(D1574, ""en"", ""zh-tw"")"),"1. 乘務員幫助乘客搬運行李。 2. 開辦新企業存在許多風險。")</f>
        <v>1. 乘務員幫助乘客搬運行李。 2. 開辦新企業存在許多風險。</v>
      </c>
    </row>
    <row r="1575">
      <c r="A1575" s="7" t="s">
        <v>4722</v>
      </c>
      <c r="B1575" s="7" t="s">
        <v>4723</v>
      </c>
      <c r="C1575" s="7" t="s">
        <v>7</v>
      </c>
      <c r="D1575" s="7" t="s">
        <v>4724</v>
      </c>
      <c r="E1575" s="3" t="str">
        <f>IFERROR(__xludf.DUMMYFUNCTION("GOOGLETRANSLATE(D1575, ""en"", ""zh-tw"")"),"1. 管家為乘客提供餐飲服務。 2. 他被選為莊園的管家。")</f>
        <v>1. 管家為乘客提供餐飲服務。 2. 他被選為莊園的管家。</v>
      </c>
    </row>
    <row r="1576">
      <c r="A1576" s="7" t="s">
        <v>4725</v>
      </c>
      <c r="B1576" s="7" t="s">
        <v>4726</v>
      </c>
      <c r="C1576" s="7" t="s">
        <v>17</v>
      </c>
      <c r="D1576" s="7" t="s">
        <v>4727</v>
      </c>
      <c r="E1576" s="3" t="str">
        <f>IFERROR(__xludf.DUMMYFUNCTION("GOOGLETRANSLATE(D1576, ""en"", ""zh-tw"")"),"1. 火車抵達了3號月台。 2. 她利用社群媒體平台分享自己的想法。 3. 該黨在選舉前公佈了競選綱領。")</f>
        <v>1. 火車抵達了3號月台。 2. 她利用社群媒體平台分享自己的想法。 3. 該黨在選舉前公佈了競選綱領。</v>
      </c>
    </row>
    <row r="1577">
      <c r="A1577" s="7" t="s">
        <v>4728</v>
      </c>
      <c r="B1577" s="7" t="s">
        <v>4729</v>
      </c>
      <c r="C1577" s="7" t="s">
        <v>7</v>
      </c>
      <c r="D1577" s="7" t="s">
        <v>4730</v>
      </c>
      <c r="E1577" s="3" t="str">
        <f>IFERROR(__xludf.DUMMYFUNCTION("GOOGLETRANSLATE(D1577, ""en"", ""zh-tw"")"),"1. 由於航空公司超售機票，部分乘客被拒絕登機。 2. 飯店在旺季有時會超額預訂房間。")</f>
        <v>1. 由於航空公司超售機票，部分乘客被拒絕登機。 2. 飯店在旺季有時會超額預訂房間。</v>
      </c>
    </row>
    <row r="1578">
      <c r="A1578" s="7" t="s">
        <v>4731</v>
      </c>
      <c r="B1578" s="7" t="s">
        <v>4732</v>
      </c>
      <c r="C1578" s="7" t="s">
        <v>279</v>
      </c>
      <c r="D1578" s="7" t="s">
        <v>4733</v>
      </c>
      <c r="E1578" s="3" t="str">
        <f>IFERROR(__xludf.DUMMYFUNCTION("GOOGLETRANSLATE(D1578, ""en"", ""zh-tw"")"),"1. 這部電影的評價褒貶不一。 2. 他最近的工作表現平平。")</f>
        <v>1. 這部電影的評價褒貶不一。 2. 他最近的工作表現平平。</v>
      </c>
    </row>
    <row r="1579">
      <c r="A1579" s="7" t="s">
        <v>4734</v>
      </c>
      <c r="B1579" s="7" t="s">
        <v>4735</v>
      </c>
      <c r="C1579" s="7" t="s">
        <v>7</v>
      </c>
      <c r="D1579" s="7" t="s">
        <v>4736</v>
      </c>
      <c r="E1579" s="3" t="str">
        <f>IFERROR(__xludf.DUMMYFUNCTION("GOOGLETRANSLATE(D1579, ""en"", ""zh-tw"")"),"1. 她請了無薪假照顧生病的母親。 2. 桌上有好幾張未付帳單。")</f>
        <v>1. 她請了無薪假照顧生病的母親。 2. 桌上有好幾張未付帳單。</v>
      </c>
    </row>
    <row r="1580">
      <c r="A1580" s="7" t="s">
        <v>4737</v>
      </c>
      <c r="B1580" s="7" t="s">
        <v>4738</v>
      </c>
      <c r="C1580" s="7" t="s">
        <v>7</v>
      </c>
      <c r="D1580" s="7" t="s">
        <v>4739</v>
      </c>
      <c r="E1580" s="3" t="str">
        <f>IFERROR(__xludf.DUMMYFUNCTION("GOOGLETRANSLATE(D1580, ""en"", ""zh-tw"")"),"1. 他被任命為教育部長。 2. 部長在教堂佈道。 3. 醫生和護士照顧病人。")</f>
        <v>1. 他被任命為教育部長。 2. 部長在教堂佈道。 3. 醫生和護士照顧病人。</v>
      </c>
    </row>
    <row r="1581">
      <c r="A1581" s="7" t="s">
        <v>4740</v>
      </c>
      <c r="B1581" s="7" t="s">
        <v>4741</v>
      </c>
      <c r="C1581" s="7" t="s">
        <v>7</v>
      </c>
      <c r="D1581" s="7" t="s">
        <v>4742</v>
      </c>
      <c r="E1581" s="3" t="str">
        <f>IFERROR(__xludf.DUMMYFUNCTION("GOOGLETRANSLATE(D1581, ""en"", ""zh-tw"")"),"1. 衛生部發布了新的指導方針。 2. 他畢生致力於衛生部的工作。")</f>
        <v>1. 衛生部發布了新的指導方針。 2. 他畢生致力於衛生部的工作。</v>
      </c>
    </row>
    <row r="1582">
      <c r="A1582" s="7" t="s">
        <v>4743</v>
      </c>
      <c r="B1582" s="7" t="s">
        <v>4744</v>
      </c>
      <c r="C1582" s="7" t="s">
        <v>17</v>
      </c>
      <c r="D1582" s="7" t="s">
        <v>4745</v>
      </c>
      <c r="E1582" s="3" t="str">
        <f>IFERROR(__xludf.DUMMYFUNCTION("GOOGLETRANSLATE(D1582, ""en"", ""zh-tw"")"),"1. 秘書安排了本週的所有會議。 2. 她被任命為國務卿。")</f>
        <v>1. 秘書安排了本週的所有會議。 2. 她被任命為國務卿。</v>
      </c>
    </row>
    <row r="1583">
      <c r="A1583" s="7" t="s">
        <v>4746</v>
      </c>
      <c r="B1583" s="7" t="s">
        <v>4747</v>
      </c>
      <c r="C1583" s="7" t="s">
        <v>279</v>
      </c>
      <c r="D1583" s="7" t="s">
        <v>4748</v>
      </c>
      <c r="E1583" s="3" t="str">
        <f>IFERROR(__xludf.DUMMYFUNCTION("GOOGLETRANSLATE(D1583, ""en"", ""zh-tw"")"),"1. 她在國際研討會上發表了她的研究成果。 2. 這所大學舉辦了一個關於氣候變遷的研討會。")</f>
        <v>1. 她在國際研討會上發表了她的研究成果。 2. 這所大學舉辦了一個關於氣候變遷的研討會。</v>
      </c>
    </row>
    <row r="1584">
      <c r="A1584" s="7" t="s">
        <v>4749</v>
      </c>
      <c r="B1584" s="7" t="s">
        <v>4750</v>
      </c>
      <c r="C1584" s="7" t="s">
        <v>7</v>
      </c>
      <c r="D1584" s="7" t="s">
        <v>4751</v>
      </c>
      <c r="E1584" s="3" t="str">
        <f>IFERROR(__xludf.DUMMYFUNCTION("GOOGLETRANSLATE(D1584, ""en"", ""zh-tw"")"),"1. 公司召回了有缺陷的產品。 2. 一根有缺陷的電線導致了停電。")</f>
        <v>1. 公司召回了有缺陷的產品。 2. 一根有缺陷的電線導致了停電。</v>
      </c>
    </row>
    <row r="1585">
      <c r="A1585" s="7" t="s">
        <v>4752</v>
      </c>
      <c r="B1585" s="7" t="s">
        <v>4753</v>
      </c>
      <c r="C1585" s="7" t="s">
        <v>7</v>
      </c>
      <c r="D1585" s="7" t="s">
        <v>4754</v>
      </c>
      <c r="E1585" s="3" t="str">
        <f>IFERROR(__xludf.DUMMYFUNCTION("GOOGLETRANSLATE(D1585, ""en"", ""zh-tw"")"),"1. 她的表演堪稱完美無瑕。 2. 珠寶商稱這顆鑽石完美無瑕。")</f>
        <v>1. 她的表演堪稱完美無瑕。 2. 珠寶商稱這顆鑽石完美無瑕。</v>
      </c>
    </row>
    <row r="1586">
      <c r="A1586" s="7" t="s">
        <v>4755</v>
      </c>
      <c r="B1586" s="7" t="s">
        <v>4756</v>
      </c>
      <c r="C1586" s="7" t="s">
        <v>7</v>
      </c>
      <c r="D1586" s="7" t="s">
        <v>4757</v>
      </c>
      <c r="E1586" s="3" t="str">
        <f>IFERROR(__xludf.DUMMYFUNCTION("GOOGLETRANSLATE(D1586, ""en"", ""zh-tw"")"),"1. 線路故障引發了建築物火災。 2. 他把故障設備退回了商店。")</f>
        <v>1. 線路故障引發了建築物火災。 2. 他把故障設備退回了商店。</v>
      </c>
    </row>
    <row r="1587">
      <c r="A1587" s="7" t="s">
        <v>4758</v>
      </c>
      <c r="B1587" s="7" t="s">
        <v>4759</v>
      </c>
      <c r="C1587" s="7" t="s">
        <v>7</v>
      </c>
      <c r="D1587" s="7" t="s">
        <v>4760</v>
      </c>
      <c r="E1587" s="3" t="str">
        <f>IFERROR(__xludf.DUMMYFUNCTION("GOOGLETRANSLATE(D1587, ""en"", ""zh-tw"")"),"1. 該產品目前在線上缺貨。 2. 她今天下午沒空參加會議。")</f>
        <v>1. 該產品目前在線上缺貨。 2. 她今天下午沒空參加會議。</v>
      </c>
    </row>
    <row r="1588">
      <c r="A1588" s="7" t="s">
        <v>4761</v>
      </c>
      <c r="B1588" s="7" t="s">
        <v>4762</v>
      </c>
      <c r="C1588" s="7" t="s">
        <v>7</v>
      </c>
      <c r="D1588" s="7" t="s">
        <v>4763</v>
      </c>
      <c r="E1588" s="3" t="str">
        <f>IFERROR(__xludf.DUMMYFUNCTION("GOOGLETRANSLATE(D1588, ""en"", ""zh-tw"")"),"1. 該航空公司在長程航線提供免費機上餐點。 2. 她看了一部機上電影來打發時間。")</f>
        <v>1. 該航空公司在長程航線提供免費機上餐點。 2. 她看了一部機上電影來打發時間。</v>
      </c>
    </row>
    <row r="1589">
      <c r="A1589" s="7" t="s">
        <v>4764</v>
      </c>
      <c r="B1589" s="7" t="s">
        <v>4765</v>
      </c>
      <c r="C1589" s="7" t="s">
        <v>7</v>
      </c>
      <c r="D1589" s="7" t="s">
        <v>4766</v>
      </c>
      <c r="E1589" s="3" t="str">
        <f>IFERROR(__xludf.DUMMYFUNCTION("GOOGLETRANSLATE(D1589, ""en"", ""zh-tw"")"),"1. 這列火車開往東京。 2. 以她的才能，她一定會成功。 3. 他一步兩級地跳上樓梯。")</f>
        <v>1. 這列火車開往東京。 2. 以她的才能，她一定會成功。 3. 他一步兩級地跳上樓梯。</v>
      </c>
    </row>
    <row r="1590">
      <c r="A1590" s="7" t="s">
        <v>4767</v>
      </c>
      <c r="B1590" s="7" t="s">
        <v>4768</v>
      </c>
      <c r="C1590" s="7" t="s">
        <v>7</v>
      </c>
      <c r="D1590" s="7" t="s">
        <v>4769</v>
      </c>
      <c r="E1590" s="3" t="str">
        <f>IFERROR(__xludf.DUMMYFUNCTION("GOOGLETRANSLATE(D1590, ""en"", ""zh-tw"")"),"1. 貨物按時到達倉庫。 2. 該公司向世界各地運送貨物。")</f>
        <v>1. 貨物按時到達倉庫。 2. 該公司向世界各地運送貨物。</v>
      </c>
    </row>
    <row r="1591">
      <c r="A1591" s="7" t="s">
        <v>4770</v>
      </c>
      <c r="B1591" s="7" t="s">
        <v>4771</v>
      </c>
      <c r="C1591" s="7" t="s">
        <v>279</v>
      </c>
      <c r="D1591" s="7" t="s">
        <v>4772</v>
      </c>
      <c r="E1591" s="3" t="str">
        <f>IFERROR(__xludf.DUMMYFUNCTION("GOOGLETRANSLATE(D1591, ""en"", ""zh-tw"")"),"1. 所有員工必須遵守公司服裝規定。 2. 該建築符合最新的安全標準。")</f>
        <v>1. 所有員工必須遵守公司服裝規定。 2. 該建築符合最新的安全標準。</v>
      </c>
    </row>
    <row r="1592">
      <c r="A1592" s="7" t="s">
        <v>4773</v>
      </c>
      <c r="B1592" s="7" t="s">
        <v>4774</v>
      </c>
      <c r="C1592" s="7" t="s">
        <v>7</v>
      </c>
      <c r="D1592" s="7" t="s">
        <v>4775</v>
      </c>
      <c r="E1592" s="3" t="str">
        <f>IFERROR(__xludf.DUMMYFUNCTION("GOOGLETRANSLATE(D1592, ""en"", ""zh-tw"")"),"1. 該公司總部位於紐約。 2. 聯合國總部位於日內瓦。")</f>
        <v>1. 該公司總部位於紐約。 2. 聯合國總部位於日內瓦。</v>
      </c>
    </row>
    <row r="1593">
      <c r="A1593" s="7" t="s">
        <v>4776</v>
      </c>
      <c r="B1593" s="7" t="s">
        <v>4777</v>
      </c>
      <c r="C1593" s="7" t="s">
        <v>17</v>
      </c>
      <c r="D1593" s="7" t="s">
        <v>4778</v>
      </c>
      <c r="E1593" s="3" t="str">
        <f>IFERROR(__xludf.DUMMYFUNCTION("GOOGLETRANSLATE(D1593, ""en"", ""zh-tw"")"),"1. 我們公司在東京設有分公司。 2. 一隻鳥停在樹枝上。 3. 從事會計工作多年後，她決定轉行做諮詢。")</f>
        <v>1. 我們公司在東京設有分公司。 2. 一隻鳥停在樹枝上。 3. 從事會計工作多年後，她決定轉行做諮詢。</v>
      </c>
    </row>
    <row r="1594">
      <c r="A1594" s="7" t="s">
        <v>4779</v>
      </c>
      <c r="B1594" s="7" t="s">
        <v>4780</v>
      </c>
      <c r="C1594" s="7" t="s">
        <v>279</v>
      </c>
      <c r="D1594" s="7" t="s">
        <v>4781</v>
      </c>
      <c r="E1594" s="3" t="str">
        <f>IFERROR(__xludf.DUMMYFUNCTION("GOOGLETRANSLATE(D1594, ""en"", ""zh-tw"")"),"1. 公司在啟動專案前進行了可行性研究。 2. 工程師評估了在河上建造橋樑的可行性。")</f>
        <v>1. 公司在啟動專案前進行了可行性研究。 2. 工程師評估了在河上建造橋樑的可行性。</v>
      </c>
    </row>
    <row r="1595">
      <c r="A1595" s="7" t="s">
        <v>4782</v>
      </c>
      <c r="B1595" s="7" t="s">
        <v>4783</v>
      </c>
      <c r="C1595" s="7" t="s">
        <v>279</v>
      </c>
      <c r="D1595" s="7" t="s">
        <v>4784</v>
      </c>
      <c r="E1595" s="3" t="str">
        <f>IFERROR(__xludf.DUMMYFUNCTION("GOOGLETRANSLATE(D1595, ""en"", ""zh-tw"")"),"1. 政府提高了進口商品的關稅。 2. 飯店的房價包含早餐和晚餐。")</f>
        <v>1. 政府提高了進口商品的關稅。 2. 飯店的房價包含早餐和晚餐。</v>
      </c>
    </row>
    <row r="1596">
      <c r="A1596" s="7" t="s">
        <v>4785</v>
      </c>
      <c r="B1596" s="7" t="s">
        <v>4786</v>
      </c>
      <c r="C1596" s="7" t="s">
        <v>17</v>
      </c>
      <c r="D1596" s="7" t="s">
        <v>4787</v>
      </c>
      <c r="E1596" s="3" t="str">
        <f>IFERROR(__xludf.DUMMYFUNCTION("GOOGLETRANSLATE(D1596, ""en"", ""zh-tw"")"),"1. 她決定辭職創業。 2. 他五年前戒菸了。 3. 這名球員受傷後退出了比賽。")</f>
        <v>1. 她決定辭職創業。 2. 他五年前戒菸了。 3. 這名球員受傷後退出了比賽。</v>
      </c>
    </row>
    <row r="1597">
      <c r="A1597" s="7" t="s">
        <v>4788</v>
      </c>
      <c r="B1597" s="7" t="s">
        <v>4789</v>
      </c>
      <c r="C1597" s="7" t="s">
        <v>279</v>
      </c>
      <c r="D1597" s="7" t="s">
        <v>4790</v>
      </c>
      <c r="E1597" s="3" t="str">
        <f>IFERROR(__xludf.DUMMYFUNCTION("GOOGLETRANSLATE(D1597, ""en"", ""zh-tw"")"),"1. 他在一家證券公司開戶投資股票。 2. 該證券公司收取了2%的交易費。")</f>
        <v>1. 他在一家證券公司開戶投資股票。 2. 該證券公司收取了2%的交易費。</v>
      </c>
    </row>
    <row r="1598">
      <c r="A1598" s="7" t="s">
        <v>4791</v>
      </c>
      <c r="B1598" s="7" t="s">
        <v>4792</v>
      </c>
      <c r="C1598" s="7" t="s">
        <v>7</v>
      </c>
      <c r="D1598" s="7" t="s">
        <v>4793</v>
      </c>
      <c r="E1598" s="3" t="str">
        <f>IFERROR(__xludf.DUMMYFUNCTION("GOOGLETRANSLATE(D1598, ""en"", ""zh-tw"")"),"1. 她從自動櫃員機取了現金。 2. 軍隊撤離結束了衝突。 3. 他戒掉咖啡因後出現了戒斷症狀。")</f>
        <v>1. 她從自動櫃員機取了現金。 2. 軍隊撤離結束了衝突。 3. 他戒掉咖啡因後出現了戒斷症狀。</v>
      </c>
    </row>
    <row r="1599">
      <c r="A1599" s="7" t="s">
        <v>4794</v>
      </c>
      <c r="B1599" s="7" t="s">
        <v>4795</v>
      </c>
      <c r="C1599" s="7" t="s">
        <v>7</v>
      </c>
      <c r="D1599" s="7" t="s">
        <v>4796</v>
      </c>
      <c r="E1599" s="3" t="str">
        <f>IFERROR(__xludf.DUMMYFUNCTION("GOOGLETRANSLATE(D1599, ""en"", ""zh-tw"")"),"1. 夏季用水量增加。 2. 本文法指南解釋了每種時態的正確用法。")</f>
        <v>1. 夏季用水量增加。 2. 本文法指南解釋了每種時態的正確用法。</v>
      </c>
    </row>
    <row r="1600">
      <c r="A1600" s="7" t="s">
        <v>4797</v>
      </c>
      <c r="B1600" s="7" t="s">
        <v>4798</v>
      </c>
      <c r="C1600" s="7" t="s">
        <v>17</v>
      </c>
      <c r="D1600" s="7" t="s">
        <v>4799</v>
      </c>
      <c r="E1600" s="3" t="str">
        <f>IFERROR(__xludf.DUMMYFUNCTION("GOOGLETRANSLATE(D1600, ""en"", ""zh-tw"")"),"1. 孩子們放學後在院子裡玩耍。 2. 這種布料每碼售價10美元。 3. 木材存放在院子裡。")</f>
        <v>1. 孩子們放學後在院子裡玩耍。 2. 這種布料每碼售價10美元。 3. 木材存放在院子裡。</v>
      </c>
    </row>
    <row r="1601">
      <c r="A1601" s="7" t="s">
        <v>4800</v>
      </c>
      <c r="B1601" s="7" t="s">
        <v>4801</v>
      </c>
      <c r="C1601" s="7" t="s">
        <v>279</v>
      </c>
      <c r="D1601" s="7" t="s">
        <v>4802</v>
      </c>
      <c r="E1601" s="3" t="str">
        <f>IFERROR(__xludf.DUMMYFUNCTION("GOOGLETRANSLATE(D1601, ""en"", ""zh-tw"")"),"1. 這份工作提供優厚的薪資和福利。 2. 員工期望獲得與其工作相符的公平報酬。")</f>
        <v>1. 這份工作提供優厚的薪資和福利。 2. 員工期望獲得與其工作相符的公平報酬。</v>
      </c>
    </row>
    <row r="1602">
      <c r="A1602" s="7" t="s">
        <v>4803</v>
      </c>
      <c r="B1602" s="7" t="s">
        <v>4804</v>
      </c>
      <c r="C1602" s="7" t="s">
        <v>7</v>
      </c>
      <c r="D1602" s="7" t="s">
        <v>4805</v>
      </c>
      <c r="E1602" s="3" t="str">
        <f>IFERROR(__xludf.DUMMYFUNCTION("GOOGLETRANSLATE(D1602, ""en"", ""zh-tw"")"),"1. 這台機器現在運作正常。 2. 她上個月做了心臟手術。 3. 這次軍事行動取得了成功。")</f>
        <v>1. 這台機器現在運作正常。 2. 她上個月做了心臟手術。 3. 這次軍事行動取得了成功。</v>
      </c>
    </row>
    <row r="1603">
      <c r="A1603" s="7" t="s">
        <v>4806</v>
      </c>
      <c r="B1603" s="7" t="s">
        <v>4807</v>
      </c>
      <c r="C1603" s="7" t="s">
        <v>7</v>
      </c>
      <c r="D1603" s="7" t="s">
        <v>4808</v>
      </c>
      <c r="E1603" s="3" t="str">
        <f>IFERROR(__xludf.DUMMYFUNCTION("GOOGLETRANSLATE(D1603, ""en"", ""zh-tw"")"),"1. 三樓有一間空置的公寓。 2. 這個空缺職位已經空缺兩個月了。 3. 她目光呆滯地盯著牆壁。")</f>
        <v>1. 三樓有一間空置的公寓。 2. 這個空缺職位已經空缺兩個月了。 3. 她目光呆滯地盯著牆壁。</v>
      </c>
    </row>
    <row r="1604">
      <c r="A1604" s="7" t="s">
        <v>4809</v>
      </c>
      <c r="B1604" s="7" t="s">
        <v>4810</v>
      </c>
      <c r="C1604" s="7" t="s">
        <v>7</v>
      </c>
      <c r="D1604" s="7" t="s">
        <v>4811</v>
      </c>
      <c r="E1604" s="3" t="str">
        <f>IFERROR(__xludf.DUMMYFUNCTION("GOOGLETRANSLATE(D1604, ""en"", ""zh-tw"")"),"1. 她對結果表示滿意。 2. 客戶滿意度是我們的首要任務。")</f>
        <v>1. 她對結果表示滿意。 2. 客戶滿意度是我們的首要任務。</v>
      </c>
    </row>
    <row r="1605">
      <c r="A1605" s="7" t="s">
        <v>4812</v>
      </c>
      <c r="B1605" s="7" t="s">
        <v>4813</v>
      </c>
      <c r="C1605" s="7" t="s">
        <v>7</v>
      </c>
      <c r="D1605" s="7" t="s">
        <v>4814</v>
      </c>
      <c r="E1605" s="3" t="str">
        <f>IFERROR(__xludf.DUMMYFUNCTION("GOOGLETRANSLATE(D1605, ""en"", ""zh-tw"")"),"1. 租客簽訂了一年的租約。 2. 該市租屋者面臨不斷上漲的住房成本。")</f>
        <v>1. 租客簽訂了一年的租約。 2. 該市租屋者面臨不斷上漲的住房成本。</v>
      </c>
    </row>
    <row r="1606">
      <c r="A1606" s="7" t="s">
        <v>4815</v>
      </c>
      <c r="B1606" s="7" t="s">
        <v>4816</v>
      </c>
      <c r="C1606" s="7" t="s">
        <v>7</v>
      </c>
      <c r="D1606" s="7" t="s">
        <v>4817</v>
      </c>
      <c r="E1606" s="3" t="str">
        <f>IFERROR(__xludf.DUMMYFUNCTION("GOOGLETRANSLATE(D1606, ""en"", ""zh-tw"")"),"1. 她在做決定前向導師尋求了指導。 2. 老師提供了指導，幫助學生提升寫作水準。")</f>
        <v>1. 她在做決定前向導師尋求了指導。 2. 老師提供了指導，幫助學生提升寫作水準。</v>
      </c>
    </row>
    <row r="1607">
      <c r="A1607" s="7" t="s">
        <v>4818</v>
      </c>
      <c r="B1607" s="7" t="s">
        <v>4819</v>
      </c>
      <c r="C1607" s="7" t="s">
        <v>7</v>
      </c>
      <c r="D1607" s="7" t="s">
        <v>4820</v>
      </c>
      <c r="E1607" s="3" t="str">
        <f>IFERROR(__xludf.DUMMYFUNCTION("GOOGLETRANSLATE(D1607, ""en"", ""zh-tw"")"),"1. 山景令人嘆為觀止。 2. 選舉後，政治格局發生了變化。 3. 他們雇了一家公司來美化他們的花園。")</f>
        <v>1. 山景令人嘆為觀止。 2. 選舉後，政治格局發生了變化。 3. 他們雇了一家公司來美化他們的花園。</v>
      </c>
    </row>
    <row r="1608">
      <c r="A1608" s="7" t="s">
        <v>4821</v>
      </c>
      <c r="B1608" s="7" t="s">
        <v>4822</v>
      </c>
      <c r="C1608" s="7" t="s">
        <v>7</v>
      </c>
      <c r="D1608" s="7" t="s">
        <v>4823</v>
      </c>
      <c r="E1608" s="3" t="str">
        <f>IFERROR(__xludf.DUMMYFUNCTION("GOOGLETRANSLATE(D1608, ""en"", ""zh-tw"")"),"1. 團隊成功執行了計劃。 2. 她毫無怨言地完成了所有工作。")</f>
        <v>1. 團隊成功執行了計劃。 2. 她毫無怨言地完成了所有工作。</v>
      </c>
    </row>
    <row r="1609">
      <c r="A1609" s="7" t="s">
        <v>4824</v>
      </c>
      <c r="B1609" s="7" t="s">
        <v>4825</v>
      </c>
      <c r="C1609" s="7" t="s">
        <v>17</v>
      </c>
      <c r="D1609" s="7" t="s">
        <v>4826</v>
      </c>
      <c r="E1609" s="3" t="str">
        <f>IFERROR(__xludf.DUMMYFUNCTION("GOOGLETRANSLATE(D1609, ""en"", ""zh-tw"")"),"1. 她對攝影很有興趣。 2. 這家銀行貸款收取5%的利息。 3. 他的行為符合公司的利益。 4. 這部紀錄片讓我很感興趣。")</f>
        <v>1. 她對攝影很有興趣。 2. 這家銀行貸款收取5%的利息。 3. 他的行為符合公司的利益。 4. 這部紀錄片讓我很感興趣。</v>
      </c>
    </row>
    <row r="1610">
      <c r="A1610" s="7" t="s">
        <v>4827</v>
      </c>
      <c r="B1610" s="7" t="s">
        <v>4828</v>
      </c>
      <c r="C1610" s="7" t="s">
        <v>7</v>
      </c>
      <c r="D1610" s="7" t="s">
        <v>4829</v>
      </c>
      <c r="E1610" s="3" t="str">
        <f>IFERROR(__xludf.DUMMYFUNCTION("GOOGLETRANSLATE(D1610, ""en"", ""zh-tw"")"),"1. 近年來，移民法變得更加嚴格。 2. 她抵達機場時辦理了入境手續。")</f>
        <v>1. 近年來，移民法變得更加嚴格。 2. 她抵達機場時辦理了入境手續。</v>
      </c>
    </row>
    <row r="1611">
      <c r="A1611" s="7" t="s">
        <v>4830</v>
      </c>
      <c r="B1611" s="7" t="s">
        <v>4831</v>
      </c>
      <c r="C1611" s="7" t="s">
        <v>7</v>
      </c>
      <c r="D1611" s="7" t="s">
        <v>4832</v>
      </c>
      <c r="E1611" s="3" t="str">
        <f>IFERROR(__xludf.DUMMYFUNCTION("GOOGLETRANSLATE(D1611, ""en"", ""zh-tw"")"),"1. 一艘大型貨輪停靠在港口。 2. 她把湯倒進一個陶瓷容器裡。 3. 血管將氧氣輸送到全身。")</f>
        <v>1. 一艘大型貨輪停靠在港口。 2. 她把湯倒進一個陶瓷容器裡。 3. 血管將氧氣輸送到全身。</v>
      </c>
    </row>
    <row r="1612">
      <c r="A1612" s="7" t="s">
        <v>4833</v>
      </c>
      <c r="B1612" s="7" t="s">
        <v>4834</v>
      </c>
      <c r="C1612" s="7" t="s">
        <v>7</v>
      </c>
      <c r="D1612" s="7" t="s">
        <v>4835</v>
      </c>
      <c r="E1612" s="3" t="str">
        <f>IFERROR(__xludf.DUMMYFUNCTION("GOOGLETRANSLATE(D1612, ""en"", ""zh-tw"")"),"1. 政府為低收入家庭提供福利。 2. 該組織致力於改善動物福利。")</f>
        <v>1. 政府為低收入家庭提供福利。 2. 該組織致力於改善動物福利。</v>
      </c>
    </row>
    <row r="1613">
      <c r="A1613" s="7" t="s">
        <v>4836</v>
      </c>
      <c r="B1613" s="7" t="s">
        <v>4837</v>
      </c>
      <c r="C1613" s="7" t="s">
        <v>7</v>
      </c>
      <c r="D1613" s="7" t="s">
        <v>4838</v>
      </c>
      <c r="E1613" s="3" t="str">
        <f>IFERROR(__xludf.DUMMYFUNCTION("GOOGLETRANSLATE(D1613, ""en"", ""zh-tw"")"),"1. 請於月底核對您的帳單。 2. 她負責公司所有的帳單處理工作。 3. 這位演員在影片中位列主演名單首位。")</f>
        <v>1. 請於月底核對您的帳單。 2. 她負責公司所有的帳單處理工作。 3. 這位演員在影片中位列主演名單首位。</v>
      </c>
    </row>
    <row r="1614">
      <c r="A1614" s="7" t="s">
        <v>4839</v>
      </c>
      <c r="B1614" s="7" t="s">
        <v>4840</v>
      </c>
      <c r="C1614" s="7" t="s">
        <v>279</v>
      </c>
      <c r="D1614" s="7" t="s">
        <v>4841</v>
      </c>
      <c r="E1614" s="3" t="str">
        <f>IFERROR(__xludf.DUMMYFUNCTION("GOOGLETRANSLATE(D1614, ""en"", ""zh-tw"")"),"1. 由於出席人數不足法定人數，會議無法進行。 2. 提案表決需要五名成員的法定人數。")</f>
        <v>1. 由於出席人數不足法定人數，會議無法進行。 2. 提案表決需要五名成員的法定人數。</v>
      </c>
    </row>
    <row r="1615">
      <c r="A1615" s="7" t="s">
        <v>4842</v>
      </c>
      <c r="B1615" s="7" t="s">
        <v>4843</v>
      </c>
      <c r="C1615" s="7" t="s">
        <v>7</v>
      </c>
      <c r="D1615" s="7" t="s">
        <v>4844</v>
      </c>
      <c r="E1615" s="3" t="str">
        <f>IFERROR(__xludf.DUMMYFUNCTION("GOOGLETRANSLATE(D1615, ""en"", ""zh-tw"")"),"1. 這位科學家研發了一種新的藥物配方。 2. 成功沒有靈丹妙藥。 3. 大多數超市都有嬰兒配方奶粉販售。")</f>
        <v>1. 這位科學家研發了一種新的藥物配方。 2. 成功沒有靈丹妙藥。 3. 大多數超市都有嬰兒配方奶粉販售。</v>
      </c>
    </row>
    <row r="1616">
      <c r="A1616" s="7" t="s">
        <v>4845</v>
      </c>
      <c r="B1616" s="7" t="s">
        <v>4846</v>
      </c>
      <c r="C1616" s="7" t="s">
        <v>17</v>
      </c>
      <c r="D1616" s="7" t="s">
        <v>4847</v>
      </c>
      <c r="E1616" s="3" t="str">
        <f>IFERROR(__xludf.DUMMYFUNCTION("GOOGLETRANSLATE(D1616, ""en"", ""zh-tw"")"),"1. 這次旅行從頭到尾都非常愉快。 2. 她覺得烹飪課既有趣又放鬆。")</f>
        <v>1. 這次旅行從頭到尾都非常愉快。 2. 她覺得烹飪課既有趣又放鬆。</v>
      </c>
    </row>
    <row r="1617">
      <c r="A1617" s="7" t="s">
        <v>4848</v>
      </c>
      <c r="B1617" s="7" t="s">
        <v>4849</v>
      </c>
      <c r="C1617" s="7" t="s">
        <v>17</v>
      </c>
      <c r="D1617" s="7" t="s">
        <v>4850</v>
      </c>
      <c r="E1617" s="3" t="str">
        <f>IFERROR(__xludf.DUMMYFUNCTION("GOOGLETRANSLATE(D1617, ""en"", ""zh-tw"")"),"1. 旅遊業是該國經濟的重要組成部分。 2. 該市正努力透過建造新的旅遊景點來吸引更多遊客。")</f>
        <v>1. 旅遊業是該國經濟的重要組成部分。 2. 該市正努力透過建造新的旅遊景點來吸引更多遊客。</v>
      </c>
    </row>
    <row r="1618">
      <c r="A1618" s="7" t="s">
        <v>4851</v>
      </c>
      <c r="B1618" s="7" t="s">
        <v>4852</v>
      </c>
      <c r="C1618" s="7" t="s">
        <v>17</v>
      </c>
      <c r="D1618" s="7" t="s">
        <v>4853</v>
      </c>
      <c r="E1618" s="3" t="str">
        <f>IFERROR(__xludf.DUMMYFUNCTION("GOOGLETRANSLATE(D1618, ""en"", ""zh-tw"")"),"1. 她在會議上提出了一個重要問題。 2. 他是被祖父母在農村撫養長大的。")</f>
        <v>1. 她在會議上提出了一個重要問題。 2. 他是被祖父母在農村撫養長大的。</v>
      </c>
    </row>
    <row r="1619">
      <c r="A1619" s="7" t="s">
        <v>4854</v>
      </c>
      <c r="B1619" s="7" t="s">
        <v>4855</v>
      </c>
      <c r="C1619" s="7" t="s">
        <v>7</v>
      </c>
      <c r="D1619" s="7" t="s">
        <v>4856</v>
      </c>
      <c r="E1619" s="3" t="str">
        <f>IFERROR(__xludf.DUMMYFUNCTION("GOOGLETRANSLATE(D1619, ""en"", ""zh-tw"")"),"1. 圖書館訂閱了許多科學期刊。 2. 她定期進行身體檢查以監測健康狀況。")</f>
        <v>1. 圖書館訂閱了許多科學期刊。 2. 她定期進行身體檢查以監測健康狀況。</v>
      </c>
    </row>
    <row r="1620">
      <c r="A1620" s="7" t="s">
        <v>4857</v>
      </c>
      <c r="B1620" s="7" t="s">
        <v>4858</v>
      </c>
      <c r="C1620" s="7" t="s">
        <v>7</v>
      </c>
      <c r="D1620" s="7" t="s">
        <v>4859</v>
      </c>
      <c r="E1620" s="3" t="str">
        <f>IFERROR(__xludf.DUMMYFUNCTION("GOOGLETRANSLATE(D1620, ""en"", ""zh-tw"")"),"1. 禮賓部幫我們預訂了劇院的票。 2. 她向飯店禮賓部諮詢餐廳推薦。")</f>
        <v>1. 禮賓部幫我們預訂了劇院的票。 2. 她向飯店禮賓部諮詢餐廳推薦。</v>
      </c>
    </row>
    <row r="1621">
      <c r="A1621" s="7" t="s">
        <v>4860</v>
      </c>
      <c r="B1621" s="7" t="s">
        <v>4861</v>
      </c>
      <c r="C1621" s="7" t="s">
        <v>17</v>
      </c>
      <c r="D1621" s="7" t="s">
        <v>4862</v>
      </c>
      <c r="E1621" s="3" t="str">
        <f>IFERROR(__xludf.DUMMYFUNCTION("GOOGLETRANSLATE(D1621, ""en"", ""zh-tw"")"),"1. 該手冊包含許多技術術語。 2. 她在軟體開發方面擁有很強的技術能力。")</f>
        <v>1. 該手冊包含許多技術術語。 2. 她在軟體開發方面擁有很強的技術能力。</v>
      </c>
    </row>
    <row r="1622">
      <c r="A1622" s="7" t="s">
        <v>4863</v>
      </c>
      <c r="B1622" s="7" t="s">
        <v>4864</v>
      </c>
      <c r="C1622" s="7" t="s">
        <v>7</v>
      </c>
      <c r="D1622" s="7" t="s">
        <v>4865</v>
      </c>
      <c r="E1622" s="3" t="str">
        <f>IFERROR(__xludf.DUMMYFUNCTION("GOOGLETRANSLATE(D1622, ""en"", ""zh-tw"")"),"1. 公司派出了維修隊前往現場。 2. 警方調度中心接到了一個緊急電話。 3. 她在中午前完成了所有任務。")</f>
        <v>1. 公司派出了維修隊前往現場。 2. 警方調度中心接到了一個緊急電話。 3. 她在中午前完成了所有任務。</v>
      </c>
    </row>
    <row r="1623">
      <c r="A1623" s="7" t="s">
        <v>4866</v>
      </c>
      <c r="B1623" s="7" t="s">
        <v>4867</v>
      </c>
      <c r="C1623" s="7" t="s">
        <v>7</v>
      </c>
      <c r="D1623" s="7" t="s">
        <v>4868</v>
      </c>
      <c r="E1623" s="3" t="str">
        <f>IFERROR(__xludf.DUMMYFUNCTION("GOOGLETRANSLATE(D1623, ""en"", ""zh-tw"")"),"1. 這位工程師修改了設計以提高效率。 2. 她聽從醫生的建議改變了飲食習慣。")</f>
        <v>1. 這位工程師修改了設計以提高效率。 2. 她聽從醫生的建議改變了飲食習慣。</v>
      </c>
    </row>
    <row r="1624">
      <c r="A1624" s="7" t="s">
        <v>4869</v>
      </c>
      <c r="B1624" s="7" t="s">
        <v>4870</v>
      </c>
      <c r="C1624" s="7" t="s">
        <v>17</v>
      </c>
      <c r="D1624" s="7" t="s">
        <v>4871</v>
      </c>
      <c r="E1624" s="3" t="str">
        <f>IFERROR(__xludf.DUMMYFUNCTION("GOOGLETRANSLATE(D1624, ""en"", ""zh-tw"")"),"1. 這起案件於上週一開庭審理。 2. 他們在室外球場打網球。 3. 他追求她兩年後才結婚。")</f>
        <v>1. 這起案件於上週一開庭審理。 2. 他們在室外球場打網球。 3. 他追求她兩年後才結婚。</v>
      </c>
    </row>
    <row r="1625">
      <c r="A1625" s="7" t="s">
        <v>4872</v>
      </c>
      <c r="B1625" s="7" t="s">
        <v>4873</v>
      </c>
      <c r="C1625" s="7" t="s">
        <v>7</v>
      </c>
      <c r="D1625" s="7" t="s">
        <v>4874</v>
      </c>
      <c r="E1625" s="3" t="str">
        <f>IFERROR(__xludf.DUMMYFUNCTION("GOOGLETRANSLATE(D1625, ""en"", ""zh-tw"")"),"1. 她本季的工作表現令人滿意。 2. 檢查結果令人滿意，因此無需做出任何改變。")</f>
        <v>1. 她本季的工作表現令人滿意。 2. 檢查結果令人滿意，因此無需做出任何改變。</v>
      </c>
    </row>
    <row r="1626">
      <c r="A1626" s="7" t="s">
        <v>4875</v>
      </c>
      <c r="B1626" s="7" t="s">
        <v>4876</v>
      </c>
      <c r="C1626" s="7" t="s">
        <v>17</v>
      </c>
      <c r="D1626" s="7" t="s">
        <v>4877</v>
      </c>
      <c r="E1626" s="3" t="str">
        <f>IFERROR(__xludf.DUMMYFUNCTION("GOOGLETRANSLATE(D1626, ""en"", ""zh-tw"")"),"1. 她戴著漂亮的珠寶參加聚會。 2. 他為她的結婚紀念日買了一件珠寶。")</f>
        <v>1. 她戴著漂亮的珠寶參加聚會。 2. 他為她的結婚紀念日買了一件珠寶。</v>
      </c>
    </row>
    <row r="1627">
      <c r="A1627" s="7" t="s">
        <v>4878</v>
      </c>
      <c r="B1627" s="7" t="s">
        <v>4879</v>
      </c>
      <c r="C1627" s="7" t="s">
        <v>7</v>
      </c>
      <c r="D1627" s="7" t="s">
        <v>4880</v>
      </c>
      <c r="E1627" s="3" t="str">
        <f>IFERROR(__xludf.DUMMYFUNCTION("GOOGLETRANSLATE(D1627, ""en"", ""zh-tw"")"),"1. 旅行社發給我們一份詳細的行程。 2. 我們的行程包括五天內遊覽三個城市。")</f>
        <v>1. 旅行社發給我們一份詳細的行程。 2. 我們的行程包括五天內遊覽三個城市。</v>
      </c>
    </row>
    <row r="1628">
      <c r="A1628" s="7" t="s">
        <v>4881</v>
      </c>
      <c r="B1628" s="7" t="s">
        <v>4882</v>
      </c>
      <c r="C1628" s="7" t="s">
        <v>7</v>
      </c>
      <c r="D1628" s="7" t="s">
        <v>4883</v>
      </c>
      <c r="E1628" s="3" t="str">
        <f>IFERROR(__xludf.DUMMYFUNCTION("GOOGLETRANSLATE(D1628, ""en"", ""zh-tw"")"),"1. 公司為搬遷到新辦公室的員工提供了搬遷補貼。 2. 他搬到另一個城市對他的家人來說很困難。")</f>
        <v>1. 公司為搬遷到新辦公室的員工提供了搬遷補貼。 2. 他搬到另一個城市對他的家人來說很困難。</v>
      </c>
    </row>
    <row r="1629">
      <c r="A1629" s="7" t="s">
        <v>4884</v>
      </c>
      <c r="B1629" s="7" t="s">
        <v>4885</v>
      </c>
      <c r="C1629" s="7" t="s">
        <v>279</v>
      </c>
      <c r="D1629" s="7" t="s">
        <v>4886</v>
      </c>
      <c r="E1629" s="3" t="str">
        <f>IFERROR(__xludf.DUMMYFUNCTION("GOOGLETRANSLATE(D1629, ""en"", ""zh-tw"")"),"1. 政府正努力減少預算赤字。 2. 這支球隊克服了三球落後的劣勢，最終贏得了比賽。")</f>
        <v>1. 政府正努力減少預算赤字。 2. 這支球隊克服了三球落後的劣勢，最終贏得了比賽。</v>
      </c>
    </row>
    <row r="1630">
      <c r="A1630" s="7" t="s">
        <v>4887</v>
      </c>
      <c r="B1630" s="7" t="s">
        <v>4888</v>
      </c>
      <c r="C1630" s="7" t="s">
        <v>279</v>
      </c>
      <c r="D1630" s="7" t="s">
        <v>4889</v>
      </c>
      <c r="E1630" s="3" t="str">
        <f>IFERROR(__xludf.DUMMYFUNCTION("GOOGLETRANSLATE(D1630, ""en"", ""zh-tw"")"),"1. 該國今年實現了貿易順差。 2. 剩餘的食品捐贈給了當地一家慈善機構。")</f>
        <v>1. 該國今年實現了貿易順差。 2. 剩餘的食品捐贈給了當地一家慈善機構。</v>
      </c>
    </row>
    <row r="1631">
      <c r="A1631" s="7" t="s">
        <v>4890</v>
      </c>
      <c r="B1631" s="7" t="s">
        <v>4891</v>
      </c>
      <c r="C1631" s="7" t="s">
        <v>279</v>
      </c>
      <c r="D1631" s="7" t="s">
        <v>4892</v>
      </c>
      <c r="E1631" s="3" t="str">
        <f>IFERROR(__xludf.DUMMYFUNCTION("GOOGLETRANSLATE(D1631, ""en"", ""zh-tw"")"),"1. 公司預算存在5萬美元的缺口。 2. 物資短缺導致生產延誤。")</f>
        <v>1. 公司預算存在5萬美元的缺口。 2. 物資短缺導致生產延誤。</v>
      </c>
    </row>
    <row r="1632">
      <c r="A1632" s="7" t="s">
        <v>4893</v>
      </c>
      <c r="B1632" s="7" t="s">
        <v>4894</v>
      </c>
      <c r="C1632" s="7" t="s">
        <v>17</v>
      </c>
      <c r="D1632" s="7" t="s">
        <v>4895</v>
      </c>
      <c r="E1632" s="3" t="str">
        <f>IFERROR(__xludf.DUMMYFUNCTION("GOOGLETRANSLATE(D1632, ""en"", ""zh-tw"")"),"1. 我到處找過了，但就是找不到鑰匙。 2. 這個小鎮似乎位於荒郊野外。")</f>
        <v>1. 我到處找過了，但就是找不到鑰匙。 2. 這個小鎮似乎位於荒郊野外。</v>
      </c>
    </row>
    <row r="1633">
      <c r="A1633" s="7" t="s">
        <v>4896</v>
      </c>
      <c r="B1633" s="7" t="s">
        <v>4897</v>
      </c>
      <c r="C1633" s="7" t="s">
        <v>7</v>
      </c>
      <c r="D1633" s="7" t="s">
        <v>4898</v>
      </c>
      <c r="E1633" s="3" t="str">
        <f>IFERROR(__xludf.DUMMYFUNCTION("GOOGLETRANSLATE(D1633, ""en"", ""zh-tw"")"),"1. 她曾是一家大型科技公司的執行長。 2. 這棟建築以前是用作倉庫。")</f>
        <v>1. 她曾是一家大型科技公司的執行長。 2. 這棟建築以前是用作倉庫。</v>
      </c>
    </row>
    <row r="1634">
      <c r="A1634" s="7" t="s">
        <v>4899</v>
      </c>
      <c r="B1634" s="7" t="s">
        <v>4900</v>
      </c>
      <c r="C1634" s="7" t="s">
        <v>279</v>
      </c>
      <c r="D1634" s="7" t="s">
        <v>4901</v>
      </c>
      <c r="E1634" s="3" t="str">
        <f>IFERROR(__xludf.DUMMYFUNCTION("GOOGLETRANSLATE(D1634, ""en"", ""zh-tw"")"),"1. 該計畫是兩所大學合作完成的。 2. 她具有協作精神，喜歡團隊合作。")</f>
        <v>1. 該計畫是兩所大學合作完成的。 2. 她具有協作精神，喜歡團隊合作。</v>
      </c>
    </row>
    <row r="1635">
      <c r="A1635" s="7" t="s">
        <v>4902</v>
      </c>
      <c r="B1635" s="7" t="s">
        <v>4903</v>
      </c>
      <c r="C1635" s="7" t="s">
        <v>7</v>
      </c>
      <c r="D1635" s="7" t="s">
        <v>4904</v>
      </c>
      <c r="E1635" s="3" t="str">
        <f>IFERROR(__xludf.DUMMYFUNCTION("GOOGLETRANSLATE(D1635, ""en"", ""zh-tw"")"),"1. 新辦公室非常寬敞舒適。 2. 有了孩子後，他們搬到了更寬敞的房子。")</f>
        <v>1. 新辦公室非常寬敞舒適。 2. 有了孩子後，他們搬到了更寬敞的房子。</v>
      </c>
    </row>
    <row r="1636">
      <c r="A1636" s="7" t="s">
        <v>4905</v>
      </c>
      <c r="B1636" s="7" t="s">
        <v>4906</v>
      </c>
      <c r="C1636" s="7" t="s">
        <v>7</v>
      </c>
      <c r="D1636" s="7" t="s">
        <v>4907</v>
      </c>
      <c r="E1636" s="3" t="str">
        <f>IFERROR(__xludf.DUMMYFUNCTION("GOOGLETRANSLATE(D1636, ""en"", ""zh-tw"")"),"1. 新政策對小型企業產生了重大影響。 2. 隕石撞擊了地球表面。 3. 社群媒體影響人們的溝通方式。")</f>
        <v>1. 新政策對小型企業產生了重大影響。 2. 隕石撞擊了地球表面。 3. 社群媒體影響人們的溝通方式。</v>
      </c>
    </row>
    <row r="1637">
      <c r="A1637" s="7" t="s">
        <v>4908</v>
      </c>
      <c r="B1637" s="7" t="s">
        <v>4909</v>
      </c>
      <c r="C1637" s="7" t="s">
        <v>279</v>
      </c>
      <c r="D1637" s="7" t="s">
        <v>4910</v>
      </c>
      <c r="E1637" s="3" t="str">
        <f>IFERROR(__xludf.DUMMYFUNCTION("GOOGLETRANSLATE(D1637, ""en"", ""zh-tw"")"),"1. 工程師們製造了新設備的樣機。 2. 她是敬業員工的典範。")</f>
        <v>1. 工程師們製造了新設備的樣機。 2. 她是敬業員工的典範。</v>
      </c>
    </row>
    <row r="1638">
      <c r="A1638" s="7" t="s">
        <v>4911</v>
      </c>
      <c r="B1638" s="7" t="s">
        <v>4912</v>
      </c>
      <c r="C1638" s="7" t="s">
        <v>279</v>
      </c>
      <c r="D1638" s="7" t="s">
        <v>4913</v>
      </c>
      <c r="E1638" s="3" t="str">
        <f>IFERROR(__xludf.DUMMYFUNCTION("GOOGLETRANSLATE(D1638, ""en"", ""zh-tw"")"),"1. 此搜尋引擎使用演算法對網站進行排名。 2. 她在攻讀電腦科學學位期間學習了演算法。")</f>
        <v>1. 此搜尋引擎使用演算法對網站進行排名。 2. 她在攻讀電腦科學學位期間學習了演算法。</v>
      </c>
    </row>
    <row r="1639">
      <c r="A1639" s="7" t="s">
        <v>4914</v>
      </c>
      <c r="B1639" s="7" t="s">
        <v>4915</v>
      </c>
      <c r="C1639" s="7" t="s">
        <v>7</v>
      </c>
      <c r="D1639" s="7" t="s">
        <v>4916</v>
      </c>
      <c r="E1639" s="3" t="str">
        <f>IFERROR(__xludf.DUMMYFUNCTION("GOOGLETRANSLATE(D1639, ""en"", ""zh-tw"")"),"1. 她及時回覆了郵件。 2. 接到緊急電話後，救護車迅速趕到。")</f>
        <v>1. 她及時回覆了郵件。 2. 接到緊急電話後，救護車迅速趕到。</v>
      </c>
    </row>
    <row r="1640">
      <c r="A1640" s="7" t="s">
        <v>4917</v>
      </c>
      <c r="B1640" s="7" t="s">
        <v>4918</v>
      </c>
      <c r="C1640" s="7" t="s">
        <v>7</v>
      </c>
      <c r="D1640" s="7" t="s">
        <v>4919</v>
      </c>
      <c r="E1640" s="3" t="str">
        <f>IFERROR(__xludf.DUMMYFUNCTION("GOOGLETRANSLATE(D1640, ""en"", ""zh-tw"")"),"1. 這部電影獲得了影評人的高度評價。 2. 這部電視劇的收視率在本季大幅下降。")</f>
        <v>1. 這部電影獲得了影評人的高度評價。 2. 這部電視劇的收視率在本季大幅下降。</v>
      </c>
    </row>
    <row r="1641">
      <c r="A1641" s="7" t="s">
        <v>4920</v>
      </c>
      <c r="B1641" s="7" t="s">
        <v>4921</v>
      </c>
      <c r="C1641" s="7" t="s">
        <v>7</v>
      </c>
      <c r="D1641" s="7" t="s">
        <v>4922</v>
      </c>
      <c r="E1641" s="3" t="str">
        <f>IFERROR(__xludf.DUMMYFUNCTION("GOOGLETRANSLATE(D1641, ""en"", ""zh-tw"")"),"1. 他們計畫週末去山區度假。 2. 劫匪使用機車作為逃脫工具。")</f>
        <v>1. 他們計畫週末去山區度假。 2. 劫匪使用機車作為逃脫工具。</v>
      </c>
    </row>
    <row r="1642">
      <c r="A1642" s="7" t="s">
        <v>4923</v>
      </c>
      <c r="B1642" s="7" t="s">
        <v>4924</v>
      </c>
      <c r="C1642" s="7" t="s">
        <v>17</v>
      </c>
      <c r="D1642" s="7" t="s">
        <v>4925</v>
      </c>
      <c r="E1642" s="3" t="str">
        <f>IFERROR(__xludf.DUMMYFUNCTION("GOOGLETRANSLATE(D1642, ""en"", ""zh-tw"")"),"1. 她打電話叫了水管工來修理漏水的水管。 2. 水管工在浴室裡安裝了一台新的熱水器。")</f>
        <v>1. 她打電話叫了水管工來修理漏水的水管。 2. 水管工在浴室裡安裝了一台新的熱水器。</v>
      </c>
    </row>
    <row r="1643">
      <c r="A1643" s="7" t="s">
        <v>4926</v>
      </c>
      <c r="B1643" s="7" t="s">
        <v>4927</v>
      </c>
      <c r="C1643" s="7" t="s">
        <v>279</v>
      </c>
      <c r="D1643" s="7" t="s">
        <v>4928</v>
      </c>
      <c r="E1643" s="3" t="str">
        <f>IFERROR(__xludf.DUMMYFUNCTION("GOOGLETRANSLATE(D1643, ""en"", ""zh-tw"")"),"1. 她提交了一份新的辦公用品採購申請。 2. 緊急情況下，軍方徵用了車輛。")</f>
        <v>1. 她提交了一份新的辦公用品採購申請。 2. 緊急情況下，軍方徵用了車輛。</v>
      </c>
    </row>
    <row r="1644">
      <c r="A1644" s="7" t="s">
        <v>4929</v>
      </c>
      <c r="B1644" s="7" t="s">
        <v>4930</v>
      </c>
      <c r="C1644" s="7" t="s">
        <v>17</v>
      </c>
      <c r="D1644" s="7" t="s">
        <v>4931</v>
      </c>
      <c r="E1644" s="3" t="str">
        <f>IFERROR(__xludf.DUMMYFUNCTION("GOOGLETRANSLATE(D1644, ""en"", ""zh-tw"")"),"1. 搭電梯到十樓。 2. 電梯壞了，所以我們只好走樓梯。")</f>
        <v>1. 搭電梯到十樓。 2. 電梯壞了，所以我們只好走樓梯。</v>
      </c>
    </row>
    <row r="1645">
      <c r="A1645" s="7" t="s">
        <v>4932</v>
      </c>
      <c r="B1645" s="7" t="s">
        <v>4933</v>
      </c>
      <c r="C1645" s="7" t="s">
        <v>17</v>
      </c>
      <c r="D1645" s="7" t="s">
        <v>4934</v>
      </c>
      <c r="E1645" s="3" t="str">
        <f>IFERROR(__xludf.DUMMYFUNCTION("GOOGLETRANSLATE(D1645, ""en"", ""zh-tw"")"),"1. 搭電梯到三樓。 2. 你能送我去車站嗎？ 3. 他把沉重的箱子移到了架子上。 4. 政府解除了旅行禁令。")</f>
        <v>1. 搭電梯到三樓。 2. 你能送我去車站嗎？ 3. 他把沉重的箱子移到了架子上。 4. 政府解除了旅行禁令。</v>
      </c>
    </row>
    <row r="1646">
      <c r="A1646" s="7" t="s">
        <v>4935</v>
      </c>
      <c r="B1646" s="7" t="s">
        <v>4936</v>
      </c>
      <c r="C1646" s="7" t="s">
        <v>279</v>
      </c>
      <c r="D1646" s="7" t="s">
        <v>4937</v>
      </c>
      <c r="E1646" s="3" t="str">
        <f>IFERROR(__xludf.DUMMYFUNCTION("GOOGLETRANSLATE(D1646, ""en"", ""zh-tw"")"),"1. 證人在辨識嫌疑人時認錯了人。 2. 他誤將那種植物認作可食用植物，這造成了一些問題。")</f>
        <v>1. 證人在辨識嫌疑人時認錯了人。 2. 他誤將那種植物認作可食用植物，這造成了一些問題。</v>
      </c>
    </row>
    <row r="1647">
      <c r="A1647" s="7" t="s">
        <v>4938</v>
      </c>
      <c r="B1647" s="7" t="s">
        <v>4939</v>
      </c>
      <c r="C1647" s="7" t="s">
        <v>279</v>
      </c>
      <c r="D1647" s="7" t="s">
        <v>4940</v>
      </c>
      <c r="E1647" s="3" t="str">
        <f>IFERROR(__xludf.DUMMYFUNCTION("GOOGLETRANSLATE(D1647, ""en"", ""zh-tw"")"),"1. 合約規定付款必須在30天內完成。 2. 協議規定各方享有平等權利。")</f>
        <v>1. 合約規定付款必須在30天內完成。 2. 協議規定各方享有平等權利。</v>
      </c>
    </row>
    <row r="1648">
      <c r="A1648" s="7" t="s">
        <v>4941</v>
      </c>
      <c r="B1648" s="7" t="s">
        <v>4942</v>
      </c>
      <c r="C1648" s="7" t="s">
        <v>17</v>
      </c>
      <c r="D1648" s="7" t="s">
        <v>4943</v>
      </c>
      <c r="E1648" s="3" t="str">
        <f>IFERROR(__xludf.DUMMYFUNCTION("GOOGLETRANSLATE(D1648, ""en"", ""zh-tw"")"),"1. 能否把會議資訊寄給我？ 2. 更多資訊請訪問我們的網站。")</f>
        <v>1. 能否把會議資訊寄給我？ 2. 更多資訊請訪問我們的網站。</v>
      </c>
    </row>
    <row r="1649">
      <c r="A1649" s="7" t="s">
        <v>4944</v>
      </c>
      <c r="B1649" s="7" t="s">
        <v>4945</v>
      </c>
      <c r="C1649" s="7" t="s">
        <v>7</v>
      </c>
      <c r="D1649" s="7" t="s">
        <v>4946</v>
      </c>
      <c r="E1649" s="3" t="str">
        <f>IFERROR(__xludf.DUMMYFUNCTION("GOOGLETRANSLATE(D1649, ""en"", ""zh-tw"")"),"1. 她完全符合這份工作的所有要求。 2. 他努力工作，實現了成為醫生的夢想。")</f>
        <v>1. 她完全符合這份工作的所有要求。 2. 他努力工作，實現了成為醫生的夢想。</v>
      </c>
    </row>
    <row r="1650">
      <c r="A1650" s="7" t="s">
        <v>4947</v>
      </c>
      <c r="B1650" s="7" t="s">
        <v>4948</v>
      </c>
      <c r="C1650" s="7" t="s">
        <v>7</v>
      </c>
      <c r="D1650" s="7" t="s">
        <v>4949</v>
      </c>
      <c r="E1650" s="3" t="str">
        <f>IFERROR(__xludf.DUMMYFUNCTION("GOOGLETRANSLATE(D1650, ""en"", ""zh-tw"")"),"1. 請將充電器插入插座。 2. 高速公路附近有一家暢貨中心。 3. 運動是緩解壓力的好方法。")</f>
        <v>1. 請將充電器插入插座。 2. 高速公路附近有一家暢貨中心。 3. 運動是緩解壓力的好方法。</v>
      </c>
    </row>
    <row r="1651">
      <c r="A1651" s="7" t="s">
        <v>4950</v>
      </c>
      <c r="B1651" s="7" t="s">
        <v>4951</v>
      </c>
      <c r="C1651" s="7" t="s">
        <v>17</v>
      </c>
      <c r="D1651" s="7" t="s">
        <v>4952</v>
      </c>
      <c r="E1651" s="3" t="str">
        <f>IFERROR(__xludf.DUMMYFUNCTION("GOOGLETRANSLATE(D1651, ""en"", ""zh-tw"")"),"1. 屋頂被暴風雨損壞了。 2. 房價飛漲。 3. 他們在屋頂上安裝了太陽能板。")</f>
        <v>1. 屋頂被暴風雨損壞了。 2. 房價飛漲。 3. 他們在屋頂上安裝了太陽能板。</v>
      </c>
    </row>
    <row r="1652">
      <c r="A1652" s="7" t="s">
        <v>4953</v>
      </c>
      <c r="B1652" s="7" t="s">
        <v>4954</v>
      </c>
      <c r="C1652" s="7" t="s">
        <v>7</v>
      </c>
      <c r="D1652" s="7" t="s">
        <v>4955</v>
      </c>
      <c r="E1652" s="3" t="str">
        <f>IFERROR(__xludf.DUMMYFUNCTION("GOOGLETRANSLATE(D1652, ""en"", ""zh-tw"")"),"1. 她專攻公司法。 2. 這家餐廳專營正宗義大利菜。")</f>
        <v>1. 她專攻公司法。 2. 這家餐廳專營正宗義大利菜。</v>
      </c>
    </row>
    <row r="1653">
      <c r="A1653" s="7" t="s">
        <v>4956</v>
      </c>
      <c r="B1653" s="7" t="s">
        <v>4957</v>
      </c>
      <c r="C1653" s="7" t="s">
        <v>17</v>
      </c>
      <c r="D1653" s="7" t="s">
        <v>4958</v>
      </c>
      <c r="E1653" s="3" t="str">
        <f>IFERROR(__xludf.DUMMYFUNCTION("GOOGLETRANSLATE(D1653, ""en"", ""zh-tw"")"),"1. 她去做了年度體檢。 2. 修車工在公路旅行前對汽車進行了全面檢查。")</f>
        <v>1. 她去做了年度體檢。 2. 修車工在公路旅行前對汽車進行了全面檢查。</v>
      </c>
    </row>
    <row r="1654">
      <c r="A1654" s="7" t="s">
        <v>4959</v>
      </c>
      <c r="B1654" s="7" t="s">
        <v>4960</v>
      </c>
      <c r="C1654" s="7" t="s">
        <v>7</v>
      </c>
      <c r="D1654" s="7" t="s">
        <v>4961</v>
      </c>
      <c r="E1654" s="3" t="str">
        <f>IFERROR(__xludf.DUMMYFUNCTION("GOOGLETRANSLATE(D1654, ""en"", ""zh-tw"")"),"1. 這家服裝廠每天生產數千件襯衫。 2. 每件服裝在出貨前都要經過檢驗。")</f>
        <v>1. 這家服裝廠每天生產數千件襯衫。 2. 每件服裝在出貨前都要經過檢驗。</v>
      </c>
    </row>
    <row r="1655">
      <c r="A1655" s="7" t="s">
        <v>4962</v>
      </c>
      <c r="B1655" s="7" t="s">
        <v>4963</v>
      </c>
      <c r="C1655" s="7" t="s">
        <v>17</v>
      </c>
      <c r="D1655" s="7" t="s">
        <v>4964</v>
      </c>
      <c r="E1655" s="3" t="str">
        <f>IFERROR(__xludf.DUMMYFUNCTION("GOOGLETRANSLATE(D1655, ""en"", ""zh-tw"")"),"1. 她退休後搬回了家鄉。 2. 他總是深情地談起他的家鄉。")</f>
        <v>1. 她退休後搬回了家鄉。 2. 他總是深情地談起他的家鄉。</v>
      </c>
    </row>
    <row r="1656">
      <c r="A1656" s="7" t="s">
        <v>4965</v>
      </c>
      <c r="B1656" s="7" t="s">
        <v>4966</v>
      </c>
      <c r="C1656" s="7" t="s">
        <v>17</v>
      </c>
      <c r="D1656" s="7" t="s">
        <v>4967</v>
      </c>
      <c r="E1656" s="3" t="str">
        <f>IFERROR(__xludf.DUMMYFUNCTION("GOOGLETRANSLATE(D1656, ""en"", ""zh-tw"")"),"1. 這週我們家來了一位客人。 2. 這檔脫口秀節目邀請了一位著名歌手作為嘉賓。 3. 她是這所大學的客座講師。")</f>
        <v>1. 這週我們家來了一位客人。 2. 這檔脫口秀節目邀請了一位著名歌手作為嘉賓。 3. 她是這所大學的客座講師。</v>
      </c>
    </row>
    <row r="1657">
      <c r="A1657" s="7" t="s">
        <v>4968</v>
      </c>
      <c r="B1657" s="7" t="s">
        <v>4969</v>
      </c>
      <c r="C1657" s="7" t="s">
        <v>17</v>
      </c>
      <c r="D1657" s="7" t="s">
        <v>4970</v>
      </c>
      <c r="E1657" s="3" t="str">
        <f>IFERROR(__xludf.DUMMYFUNCTION("GOOGLETRANSLATE(D1657, ""en"", ""zh-tw"")"),"1. 你現在的住址是什麼？ 2. 河水水流太急，無法逆流而上。 3. 她很關注時尚潮流。")</f>
        <v>1. 你現在的住址是什麼？ 2. 河水水流太急，無法逆流而上。 3. 她很關注時尚潮流。</v>
      </c>
    </row>
    <row r="1658">
      <c r="A1658" s="7" t="s">
        <v>4971</v>
      </c>
      <c r="B1658" s="7" t="s">
        <v>4972</v>
      </c>
      <c r="C1658" s="7" t="s">
        <v>7</v>
      </c>
      <c r="D1658" s="7" t="s">
        <v>4973</v>
      </c>
      <c r="E1658" s="3" t="str">
        <f>IFERROR(__xludf.DUMMYFUNCTION("GOOGLETRANSLATE(D1658, ""en"", ""zh-tw"")"),"1. 他們住在安靜的住宅區。 2. 此建築許可證僅限用於住宅用途。")</f>
        <v>1. 他們住在安靜的住宅區。 2. 此建築許可證僅限用於住宅用途。</v>
      </c>
    </row>
    <row r="1659">
      <c r="A1659" s="7" t="s">
        <v>4974</v>
      </c>
      <c r="B1659" s="7" t="s">
        <v>4975</v>
      </c>
      <c r="C1659" s="7" t="s">
        <v>17</v>
      </c>
      <c r="D1659" s="7" t="s">
        <v>4976</v>
      </c>
      <c r="E1659" s="3" t="str">
        <f>IFERROR(__xludf.DUMMYFUNCTION("GOOGLETRANSLATE(D1659, ""en"", ""zh-tw"")"),"1. 他的軟體版本過舊，需要更新。 2. 過時的資訊導致了錯誤。")</f>
        <v>1. 他的軟體版本過舊，需要更新。 2. 過時的資訊導致了錯誤。</v>
      </c>
    </row>
    <row r="1660">
      <c r="A1660" s="7" t="s">
        <v>4977</v>
      </c>
      <c r="B1660" s="7" t="s">
        <v>4978</v>
      </c>
      <c r="C1660" s="7" t="s">
        <v>7</v>
      </c>
      <c r="D1660" s="7" t="s">
        <v>4979</v>
      </c>
      <c r="E1660" s="3" t="str">
        <f>IFERROR(__xludf.DUMMYFUNCTION("GOOGLETRANSLATE(D1660, ""en"", ""zh-tw"")"),"1. 醫療技術取得了重大進展。 2. 她正在尋找有晉升機會的工作。")</f>
        <v>1. 醫療技術取得了重大進展。 2. 她正在尋找有晉升機會的工作。</v>
      </c>
    </row>
    <row r="1661">
      <c r="A1661" s="7" t="s">
        <v>4980</v>
      </c>
      <c r="B1661" s="7" t="s">
        <v>4981</v>
      </c>
      <c r="C1661" s="7" t="s">
        <v>279</v>
      </c>
      <c r="D1661" s="7" t="s">
        <v>4982</v>
      </c>
      <c r="E1661" s="3" t="str">
        <f>IFERROR(__xludf.DUMMYFUNCTION("GOOGLETRANSLATE(D1661, ""en"", ""zh-tw"")"),"1. 本公司採用強加密技術保護客戶資料。 2. 端對端加密確保您的訊息私密性。")</f>
        <v>1. 本公司採用強加密技術保護客戶資料。 2. 端對端加密確保您的訊息私密性。</v>
      </c>
    </row>
    <row r="1662">
      <c r="A1662" s="7" t="s">
        <v>4983</v>
      </c>
      <c r="B1662" s="7" t="s">
        <v>4984</v>
      </c>
      <c r="C1662" s="7" t="s">
        <v>279</v>
      </c>
      <c r="D1662" s="7" t="s">
        <v>4985</v>
      </c>
      <c r="E1662" s="3" t="str">
        <f>IFERROR(__xludf.DUMMYFUNCTION("GOOGLETRANSLATE(D1662, ""en"", ""zh-tw"")"),"1. 解密該檔案需要特殊的密鑰。 2. 該團隊致力於解密加密訊息。")</f>
        <v>1. 解密該檔案需要特殊的密鑰。 2. 該團隊致力於解密加密訊息。</v>
      </c>
    </row>
    <row r="1663">
      <c r="A1663" s="7" t="s">
        <v>4986</v>
      </c>
      <c r="B1663" s="7" t="s">
        <v>4987</v>
      </c>
      <c r="C1663" s="7" t="s">
        <v>279</v>
      </c>
      <c r="D1663" s="7" t="s">
        <v>4988</v>
      </c>
      <c r="E1663" s="3" t="str">
        <f>IFERROR(__xludf.DUMMYFUNCTION("GOOGLETRANSLATE(D1663, ""en"", ""zh-tw"")"),"1. 加密技術用於保護敏感資訊免遭未經授權的存取。 2. 這名間諜使用加密方法傳送秘密訊息。")</f>
        <v>1. 加密技術用於保護敏感資訊免遭未經授權的存取。 2. 這名間諜使用加密方法傳送秘密訊息。</v>
      </c>
    </row>
    <row r="1664">
      <c r="A1664" s="7" t="s">
        <v>4989</v>
      </c>
      <c r="B1664" s="7" t="s">
        <v>4990</v>
      </c>
      <c r="C1664" s="7" t="s">
        <v>7</v>
      </c>
      <c r="D1664" s="7" t="s">
        <v>4991</v>
      </c>
      <c r="E1664" s="3" t="str">
        <f>IFERROR(__xludf.DUMMYFUNCTION("GOOGLETRANSLATE(D1664, ""en"", ""zh-tw"")"),"1. 她決定將積蓄投資房地產。 2. 他投入大量時間學習新技能。")</f>
        <v>1. 她決定將積蓄投資房地產。 2. 他投入大量時間學習新技能。</v>
      </c>
    </row>
    <row r="1665">
      <c r="A1665" s="7" t="s">
        <v>4992</v>
      </c>
      <c r="B1665" s="7" t="s">
        <v>4993</v>
      </c>
      <c r="C1665" s="7" t="s">
        <v>7</v>
      </c>
      <c r="D1665" s="7" t="s">
        <v>4994</v>
      </c>
      <c r="E1665" s="3" t="str">
        <f>IFERROR(__xludf.DUMMYFUNCTION("GOOGLETRANSLATE(D1665, ""en"", ""zh-tw"")"),"1. 供應商已寄送送貨物交付的發票。 2. 請您每月月底向我們開立發票。")</f>
        <v>1. 供應商已寄送送貨物交付的發票。 2. 請您每月月底向我們開立發票。</v>
      </c>
    </row>
    <row r="1666">
      <c r="A1666" s="7" t="s">
        <v>4995</v>
      </c>
      <c r="B1666" s="7" t="s">
        <v>4996</v>
      </c>
      <c r="C1666" s="7" t="s">
        <v>17</v>
      </c>
      <c r="D1666" s="7" t="s">
        <v>4997</v>
      </c>
      <c r="E1666" s="3" t="str">
        <f>IFERROR(__xludf.DUMMYFUNCTION("GOOGLETRANSLATE(D1666, ""en"", ""zh-tw"")"),"1. 她和所有同事相處得很好。 2. 你的新專案進度如何？")</f>
        <v>1. 她和所有同事相處得很好。 2. 你的新專案進度如何？</v>
      </c>
    </row>
    <row r="1667">
      <c r="A1667" s="7" t="s">
        <v>4998</v>
      </c>
      <c r="B1667" s="7" t="s">
        <v>4999</v>
      </c>
      <c r="C1667" s="7" t="s">
        <v>279</v>
      </c>
      <c r="D1667" s="7" t="s">
        <v>5000</v>
      </c>
      <c r="E1667" s="3" t="str">
        <f>IFERROR(__xludf.DUMMYFUNCTION("GOOGLETRANSLATE(D1667, ""en"", ""zh-tw"")"),"1. 這兩個部門需要協調各自的政策。 2. 歌手們在演出中和聲優美動聽。")</f>
        <v>1. 這兩個部門需要協調各自的政策。 2. 歌手們在演出中和聲優美動聽。</v>
      </c>
    </row>
    <row r="1668">
      <c r="A1668" s="7" t="s">
        <v>5001</v>
      </c>
      <c r="B1668" s="7" t="s">
        <v>5002</v>
      </c>
      <c r="C1668" s="7" t="s">
        <v>17</v>
      </c>
      <c r="D1668" s="7" t="s">
        <v>5003</v>
      </c>
      <c r="E1668" s="3" t="str">
        <f>IFERROR(__xludf.DUMMYFUNCTION("GOOGLETRANSLATE(D1668, ""en"", ""zh-tw"")"),"1. 時間是我們最寶貴的資源。 2. 她把貴重物品放在保險箱裡。")</f>
        <v>1. 時間是我們最寶貴的資源。 2. 她把貴重物品放在保險箱裡。</v>
      </c>
    </row>
    <row r="1669">
      <c r="A1669" s="7" t="s">
        <v>5004</v>
      </c>
      <c r="B1669" s="7" t="s">
        <v>5005</v>
      </c>
      <c r="C1669" s="7" t="s">
        <v>279</v>
      </c>
      <c r="D1669" s="7" t="s">
        <v>5006</v>
      </c>
      <c r="E1669" s="3" t="str">
        <f>IFERROR(__xludf.DUMMYFUNCTION("GOOGLETRANSLATE(D1669, ""en"", ""zh-tw"")"),"1. 她將所有研究成果彙整成一份報告。 2. 印表機會自動排版。")</f>
        <v>1. 她將所有研究成果彙整成一份報告。 2. 印表機會自動排版。</v>
      </c>
    </row>
    <row r="1670">
      <c r="A1670" s="7" t="s">
        <v>5007</v>
      </c>
      <c r="B1670" s="7" t="s">
        <v>5008</v>
      </c>
      <c r="C1670" s="7" t="s">
        <v>7</v>
      </c>
      <c r="D1670" s="7" t="s">
        <v>5009</v>
      </c>
      <c r="E1670" s="3" t="str">
        <f>IFERROR(__xludf.DUMMYFUNCTION("GOOGLETRANSLATE(D1670, ""en"", ""zh-tw"")"),"1. 她是一位可靠的員工，總是能準時完成任務。 2. 我們需要一位可靠的產品供應商。")</f>
        <v>1. 她是一位可靠的員工，總是能準時完成任務。 2. 我們需要一位可靠的產品供應商。</v>
      </c>
    </row>
    <row r="1671">
      <c r="A1671" s="7" t="s">
        <v>5010</v>
      </c>
      <c r="B1671" s="7" t="s">
        <v>5011</v>
      </c>
      <c r="C1671" s="7" t="s">
        <v>7</v>
      </c>
      <c r="D1671" s="7" t="s">
        <v>5012</v>
      </c>
      <c r="E1671" s="3" t="str">
        <f>IFERROR(__xludf.DUMMYFUNCTION("GOOGLETRANSLATE(D1671, ""en"", ""zh-tw"")"),"1. 他值得信賴，從不洩漏機密資訊。 2. 優秀的領導者必須值得信賴且公正。")</f>
        <v>1. 他值得信賴，從不洩漏機密資訊。 2. 優秀的領導者必須值得信賴且公正。</v>
      </c>
    </row>
    <row r="1672">
      <c r="A1672" s="7" t="s">
        <v>5013</v>
      </c>
      <c r="B1672" s="7" t="s">
        <v>5014</v>
      </c>
      <c r="C1672" s="7" t="s">
        <v>7</v>
      </c>
      <c r="D1672" s="7" t="s">
        <v>5015</v>
      </c>
      <c r="E1672" s="3" t="str">
        <f>IFERROR(__xludf.DUMMYFUNCTION("GOOGLETRANSLATE(D1672, ""en"", ""zh-tw"")"),"1. 冬季路面結冰是駕駛的一大隱憂。 2. 他隨意猜測了一下答案。")</f>
        <v>1. 冬季路面結冰是駕駛的一大隱憂。 2. 他隨意猜測了一下答案。</v>
      </c>
    </row>
    <row r="1673">
      <c r="A1673" s="7" t="s">
        <v>5016</v>
      </c>
      <c r="B1673" s="7" t="s">
        <v>5017</v>
      </c>
      <c r="C1673" s="7" t="s">
        <v>7</v>
      </c>
      <c r="D1673" s="7" t="s">
        <v>5018</v>
      </c>
      <c r="E1673" s="3" t="str">
        <f>IFERROR(__xludf.DUMMYFUNCTION("GOOGLETRANSLATE(D1673, ""en"", ""zh-tw"")"),"1. 她參加了一場關於數位行銷的網路研討會。 2. 該公司每月都會為其客戶舉辦網路研討會。")</f>
        <v>1. 她參加了一場關於數位行銷的網路研討會。 2. 該公司每月都會為其客戶舉辦網路研討會。</v>
      </c>
    </row>
    <row r="1674">
      <c r="A1674" s="7" t="s">
        <v>5019</v>
      </c>
      <c r="B1674" s="7" t="s">
        <v>5020</v>
      </c>
      <c r="C1674" s="7" t="s">
        <v>279</v>
      </c>
      <c r="D1674" s="7" t="s">
        <v>5021</v>
      </c>
      <c r="E1674" s="3" t="str">
        <f>IFERROR(__xludf.DUMMYFUNCTION("GOOGLETRANSLATE(D1674, ""en"", ""zh-tw"")"),"1. 這份報告低估了問題的嚴重性。 2. 他往往低估了自己的成就。")</f>
        <v>1. 這份報告低估了問題的嚴重性。 2. 他往往低估了自己的成就。</v>
      </c>
    </row>
    <row r="1675">
      <c r="A1675" s="7" t="s">
        <v>5022</v>
      </c>
      <c r="B1675" s="7" t="s">
        <v>5023</v>
      </c>
      <c r="C1675" s="7" t="s">
        <v>7</v>
      </c>
      <c r="D1675" s="7" t="s">
        <v>5024</v>
      </c>
      <c r="E1675" s="3" t="str">
        <f>IFERROR(__xludf.DUMMYFUNCTION("GOOGLETRANSLATE(D1675, ""en"", ""zh-tw"")"),"1. 這批貨物已於週一抵達倉庫。 2. 我們預計下週將有一大批貨物到貨。")</f>
        <v>1. 這批貨物已於週一抵達倉庫。 2. 我們預計下週將有一大批貨物到貨。</v>
      </c>
    </row>
    <row r="1676">
      <c r="A1676" s="7" t="s">
        <v>5025</v>
      </c>
      <c r="B1676" s="7" t="s">
        <v>5026</v>
      </c>
      <c r="C1676" s="7" t="s">
        <v>7</v>
      </c>
      <c r="D1676" s="7" t="s">
        <v>5027</v>
      </c>
      <c r="E1676" s="3" t="str">
        <f>IFERROR(__xludf.DUMMYFUNCTION("GOOGLETRANSLATE(D1676, ""en"", ""zh-tw"")"),"1. 這位百萬富翁住在海邊的一棟大豪宅。 2. 那棟老豪宅被改造成一間旅館了。")</f>
        <v>1. 這位百萬富翁住在海邊的一棟大豪宅。 2. 那棟老豪宅被改造成一間旅館了。</v>
      </c>
    </row>
    <row r="1677">
      <c r="A1677" s="7" t="s">
        <v>5028</v>
      </c>
      <c r="B1677" s="7" t="s">
        <v>5029</v>
      </c>
      <c r="C1677" s="7" t="s">
        <v>17</v>
      </c>
      <c r="D1677" s="7" t="s">
        <v>5030</v>
      </c>
      <c r="E1677" s="3" t="str">
        <f>IFERROR(__xludf.DUMMYFUNCTION("GOOGLETRANSLATE(D1677, ""en"", ""zh-tw"")"),"1. 清潔工每天早上都會​​打掃走廊。 2. 她感謝清潔工把大樓保持得這麼乾淨。")</f>
        <v>1. 清潔工每天早上都會​​打掃走廊。 2. 她感謝清潔工把大樓保持得這麼乾淨。</v>
      </c>
    </row>
    <row r="1678">
      <c r="A1678" s="7" t="s">
        <v>5031</v>
      </c>
      <c r="B1678" s="7" t="s">
        <v>5032</v>
      </c>
      <c r="C1678" s="7" t="s">
        <v>17</v>
      </c>
      <c r="D1678" s="7" t="s">
        <v>5033</v>
      </c>
      <c r="E1678" s="3" t="str">
        <f>IFERROR(__xludf.DUMMYFUNCTION("GOOGLETRANSLATE(D1678, ""en"", ""zh-tw"")"),"1. 她參觀了市中心的美術館。 2. 美術館裡陳列著當地藝術家的作品。 3. 美術館裡的觀眾熱烈鼓掌。")</f>
        <v>1. 她參觀了市中心的美術館。 2. 美術館裡陳列著當地藝術家的作品。 3. 美術館裡的觀眾熱烈鼓掌。</v>
      </c>
    </row>
    <row r="1679">
      <c r="A1679" s="7" t="s">
        <v>5034</v>
      </c>
      <c r="B1679" s="7" t="s">
        <v>5035</v>
      </c>
      <c r="C1679" s="7" t="s">
        <v>17</v>
      </c>
      <c r="D1679" s="7" t="s">
        <v>5036</v>
      </c>
      <c r="E1679" s="3" t="str">
        <f>IFERROR(__xludf.DUMMYFUNCTION("GOOGLETRANSLATE(D1679, ""en"", ""zh-tw"")"),"1. 如今，大多數人幾乎所有事情都用智慧型手機處理。 2. 現在沒有大學學位很難找到工作。")</f>
        <v>1. 如今，大多數人幾乎所有事情都用智慧型手機處理。 2. 現在沒有大學學位很難找到工作。</v>
      </c>
    </row>
    <row r="1680">
      <c r="A1680" s="7" t="s">
        <v>5037</v>
      </c>
      <c r="B1680" s="7" t="s">
        <v>5038</v>
      </c>
      <c r="C1680" s="7" t="s">
        <v>17</v>
      </c>
      <c r="D1680" s="7" t="s">
        <v>5039</v>
      </c>
      <c r="E1680" s="3" t="str">
        <f>IFERROR(__xludf.DUMMYFUNCTION("GOOGLETRANSLATE(D1680, ""en"", ""zh-tw"")"),"1. 她在表格上寫下了自己的郵寄地址。 2. 郵政服務每週六天派送郵件。")</f>
        <v>1. 她在表格上寫下了自己的郵寄地址。 2. 郵政服務每週六天派送郵件。</v>
      </c>
    </row>
    <row r="1681">
      <c r="A1681" s="7" t="s">
        <v>5040</v>
      </c>
      <c r="B1681" s="7" t="s">
        <v>5041</v>
      </c>
      <c r="C1681" s="7" t="s">
        <v>17</v>
      </c>
      <c r="D1681" s="7" t="s">
        <v>5042</v>
      </c>
      <c r="E1681" s="3" t="str">
        <f>IFERROR(__xludf.DUMMYFUNCTION("GOOGLETRANSLATE(D1681, ""en"", ""zh-tw"")"),"1. 你總是能指望她把工作做好。 2. 我們希望戶外活動當天天氣晴好。")</f>
        <v>1. 你總是能指望她把工作做好。 2. 我們希望戶外活動當天天氣晴好。</v>
      </c>
    </row>
    <row r="1682">
      <c r="A1682" s="7" t="s">
        <v>5043</v>
      </c>
      <c r="B1682" s="7" t="s">
        <v>5044</v>
      </c>
      <c r="C1682" s="7" t="s">
        <v>17</v>
      </c>
      <c r="D1682" s="7" t="s">
        <v>5045</v>
      </c>
      <c r="E1682" s="3" t="str">
        <f>IFERROR(__xludf.DUMMYFUNCTION("GOOGLETRANSLATE(D1682, ""en"", ""zh-tw"")"),"1. 她把所有廚房用具都整理好放進抽屜裡了。 2. 烹飪需要合適的用具。")</f>
        <v>1. 她把所有廚房用具都整理好放進抽屜裡了。 2. 烹飪需要合適的用具。</v>
      </c>
    </row>
    <row r="1683">
      <c r="A1683" s="7" t="s">
        <v>5046</v>
      </c>
      <c r="B1683" s="7" t="s">
        <v>5047</v>
      </c>
      <c r="C1683" s="7" t="s">
        <v>279</v>
      </c>
      <c r="D1683" s="7" t="s">
        <v>5048</v>
      </c>
      <c r="E1683" s="3" t="str">
        <f>IFERROR(__xludf.DUMMYFUNCTION("GOOGLETRANSLATE(D1683, ""en"", ""zh-tw"")"),"1. 她在時尚界找到了自己的定位。 2. 這家公司瞄準的是高端客戶這一細分市場。")</f>
        <v>1. 她在時尚界找到了自己的定位。 2. 這家公司瞄準的是高端客戶這一細分市場。</v>
      </c>
    </row>
    <row r="1684">
      <c r="A1684" s="7" t="s">
        <v>5049</v>
      </c>
      <c r="B1684" s="7" t="s">
        <v>5050</v>
      </c>
      <c r="C1684" s="7" t="s">
        <v>7</v>
      </c>
      <c r="D1684" s="7" t="s">
        <v>5051</v>
      </c>
      <c r="E1684" s="3" t="str">
        <f>IFERROR(__xludf.DUMMYFUNCTION("GOOGLETRANSLATE(D1684, ""en"", ""zh-tw"")"),"1. 她的專長是稅法。 2. 這家餐廳的特色菜是烤海鮮。")</f>
        <v>1. 她的專長是稅法。 2. 這家餐廳的特色菜是烤海鮮。</v>
      </c>
    </row>
    <row r="1685">
      <c r="A1685" s="7" t="s">
        <v>5052</v>
      </c>
      <c r="B1685" s="7" t="s">
        <v>5053</v>
      </c>
      <c r="C1685" s="7" t="s">
        <v>7</v>
      </c>
      <c r="D1685" s="7" t="s">
        <v>5054</v>
      </c>
      <c r="E1685" s="3" t="str">
        <f>IFERROR(__xludf.DUMMYFUNCTION("GOOGLETRANSLATE(D1685, ""en"", ""zh-tw"")"),"1. 電動車現在已成為主流。 2. 主流媒體往往忽略地方新聞。")</f>
        <v>1. 電動車現在已成為主流。 2. 主流媒體往往忽略地方新聞。</v>
      </c>
    </row>
    <row r="1686">
      <c r="A1686" s="7" t="s">
        <v>5055</v>
      </c>
      <c r="B1686" s="7" t="s">
        <v>5056</v>
      </c>
      <c r="C1686" s="7" t="s">
        <v>17</v>
      </c>
      <c r="D1686" s="7" t="s">
        <v>5057</v>
      </c>
      <c r="E1686" s="3" t="str">
        <f>IFERROR(__xludf.DUMMYFUNCTION("GOOGLETRANSLATE(D1686, ""en"", ""zh-tw"")"),"1. 她加班完成了這份報告。 2. 比賽打成平手後進入加時賽。 3. 員工加班有額外報酬。")</f>
        <v>1. 她加班完成了這份報告。 2. 比賽打成平手後進入加時賽。 3. 員工加班有額外報酬。</v>
      </c>
    </row>
    <row r="1687">
      <c r="A1687" s="7" t="s">
        <v>5058</v>
      </c>
      <c r="B1687" s="7" t="s">
        <v>5059</v>
      </c>
      <c r="C1687" s="7" t="s">
        <v>17</v>
      </c>
      <c r="D1687" s="7" t="s">
        <v>5060</v>
      </c>
      <c r="E1687" s="3" t="str">
        <f>IFERROR(__xludf.DUMMYFUNCTION("GOOGLETRANSLATE(D1687, ""en"", ""zh-tw"")"),"1. 辦公室有無線網路。 2. 她買了一副無線耳機。")</f>
        <v>1. 辦公室有無線網路。 2. 她買了一副無線耳機。</v>
      </c>
    </row>
    <row r="1688">
      <c r="A1688" s="7" t="s">
        <v>5061</v>
      </c>
      <c r="B1688" s="7" t="s">
        <v>5062</v>
      </c>
      <c r="C1688" s="7" t="s">
        <v>7</v>
      </c>
      <c r="D1688" s="7" t="s">
        <v>5063</v>
      </c>
      <c r="E1688" s="3" t="str">
        <f>IFERROR(__xludf.DUMMYFUNCTION("GOOGLETRANSLATE(D1688, ""en"", ""zh-tw"")"),"1. 她出國旅行時把自己的公寓轉租了出去。 2. 他在大學附近找到了一間轉租的房子，租期一個學期。")</f>
        <v>1. 她出國旅行時把自己的公寓轉租了出去。 2. 他在大學附近找到了一間轉租的房子，租期一個學期。</v>
      </c>
    </row>
    <row r="1689">
      <c r="A1689" s="7" t="s">
        <v>5064</v>
      </c>
      <c r="B1689" s="7" t="s">
        <v>5065</v>
      </c>
      <c r="C1689" s="7" t="s">
        <v>7</v>
      </c>
      <c r="D1689" s="7" t="s">
        <v>5066</v>
      </c>
      <c r="E1689" s="3" t="str">
        <f>IFERROR(__xludf.DUMMYFUNCTION("GOOGLETRANSLATE(D1689, ""en"", ""zh-tw"")"),"1. 該獎項旨在表彰卓越的教學成就。 2. 她致力於在所做的每一件事中都做到精益求精。")</f>
        <v>1. 該獎項旨在表彰卓越的教學成就。 2. 她致力於在所做的每一件事中都做到精益求精。</v>
      </c>
    </row>
    <row r="1690">
      <c r="A1690" s="7" t="s">
        <v>5067</v>
      </c>
      <c r="B1690" s="7" t="s">
        <v>5068</v>
      </c>
      <c r="C1690" s="7" t="s">
        <v>279</v>
      </c>
      <c r="D1690" s="7" t="s">
        <v>5069</v>
      </c>
      <c r="E1690" s="3" t="str">
        <f>IFERROR(__xludf.DUMMYFUNCTION("GOOGLETRANSLATE(D1690, ""en"", ""zh-tw"")"),"1. 他拒絕接受平庸的工作表現。 2. 該報告批評了球隊表現平庸。")</f>
        <v>1. 他拒絕接受平庸的工作表現。 2. 該報告批評了球隊表現平庸。</v>
      </c>
    </row>
    <row r="1691">
      <c r="A1691" s="7" t="s">
        <v>5070</v>
      </c>
      <c r="B1691" s="7" t="s">
        <v>5071</v>
      </c>
      <c r="C1691" s="7" t="s">
        <v>7</v>
      </c>
      <c r="D1691" s="7" t="s">
        <v>5072</v>
      </c>
      <c r="E1691" s="3" t="str">
        <f>IFERROR(__xludf.DUMMYFUNCTION("GOOGLETRANSLATE(D1691, ""en"", ""zh-tw"")"),"1. 規律運動有益身心健康。 2. 新的照明提升了房間的美感。")</f>
        <v>1. 規律運動有益身心健康。 2. 新的照明提升了房間的美感。</v>
      </c>
    </row>
    <row r="1692">
      <c r="A1692" s="7" t="s">
        <v>5073</v>
      </c>
      <c r="B1692" s="7" t="s">
        <v>5074</v>
      </c>
      <c r="C1692" s="7" t="s">
        <v>7</v>
      </c>
      <c r="D1692" s="7" t="s">
        <v>5075</v>
      </c>
      <c r="E1692" s="3" t="str">
        <f>IFERROR(__xludf.DUMMYFUNCTION("GOOGLETRANSLATE(D1692, ""en"", ""zh-tw"")"),"1. 服藥後疼痛逐漸減輕。 2. 沒有任何事物能抹殺她的成就。")</f>
        <v>1. 服藥後疼痛逐漸減輕。 2. 沒有任何事物能抹殺她的成就。</v>
      </c>
    </row>
    <row r="1693">
      <c r="A1693" s="7" t="s">
        <v>5076</v>
      </c>
      <c r="B1693" s="7" t="s">
        <v>5077</v>
      </c>
      <c r="C1693" s="7" t="s">
        <v>17</v>
      </c>
      <c r="D1693" s="7" t="s">
        <v>5078</v>
      </c>
      <c r="E1693" s="3" t="str">
        <f>IFERROR(__xludf.DUMMYFUNCTION("GOOGLETRANSLATE(D1693, ""en"", ""zh-tw"")"),"1. 她把會議延後到下週。 2. 難聞的氣味讓他沒了胃口。")</f>
        <v>1. 她把會議延後到下週。 2. 難聞的氣味讓他沒了胃口。</v>
      </c>
    </row>
    <row r="1694">
      <c r="A1694" s="7" t="s">
        <v>5079</v>
      </c>
      <c r="B1694" s="7" t="s">
        <v>5080</v>
      </c>
      <c r="C1694" s="7" t="s">
        <v>17</v>
      </c>
      <c r="D1694" s="7" t="s">
        <v>5081</v>
      </c>
      <c r="E1694" s="3" t="str">
        <f>IFERROR(__xludf.DUMMYFUNCTION("GOOGLETRANSLATE(D1694, ""en"", ""zh-tw"")"),"1. 將所有材料混合在一個大碗中。 2. 信任是任何良好關係的關鍵要素。")</f>
        <v>1. 將所有材料混合在一個大碗中。 2. 信任是任何良好關係的關鍵要素。</v>
      </c>
    </row>
    <row r="1695">
      <c r="A1695" s="7" t="s">
        <v>5082</v>
      </c>
      <c r="B1695" s="7" t="s">
        <v>5083</v>
      </c>
      <c r="C1695" s="7" t="s">
        <v>279</v>
      </c>
      <c r="D1695" s="7" t="s">
        <v>5084</v>
      </c>
      <c r="E1695" s="3" t="str">
        <f>IFERROR(__xludf.DUMMYFUNCTION("GOOGLETRANSLATE(D1695, ""en"", ""zh-tw"")"),"1. 他話裡的言下之意是她說謊了。 2. 新法對小型企業有嚴重的後果。")</f>
        <v>1. 他話裡的言下之意是她說謊了。 2. 新法對小型企業有嚴重的後果。</v>
      </c>
    </row>
    <row r="1696">
      <c r="A1696" s="7" t="s">
        <v>5085</v>
      </c>
      <c r="B1696" s="7" t="s">
        <v>5086</v>
      </c>
      <c r="C1696" s="7" t="s">
        <v>279</v>
      </c>
      <c r="D1696" s="7" t="s">
        <v>5087</v>
      </c>
      <c r="E1696" s="3" t="str">
        <f>IFERROR(__xludf.DUMMYFUNCTION("GOOGLETRANSLATE(D1696, ""en"", ""zh-tw"")"),"1. 她去公證處辦理了文件公證。 2. 合約必須在公證員面前簽署。")</f>
        <v>1. 她去公證處辦理了文件公證。 2. 合約必須在公證員面前簽署。</v>
      </c>
    </row>
    <row r="1697">
      <c r="A1697" s="7" t="s">
        <v>5088</v>
      </c>
      <c r="B1697" s="7" t="s">
        <v>5089</v>
      </c>
      <c r="C1697" s="7" t="s">
        <v>17</v>
      </c>
      <c r="D1697" s="7" t="s">
        <v>5090</v>
      </c>
      <c r="E1697" s="3" t="str">
        <f>IFERROR(__xludf.DUMMYFUNCTION("GOOGLETRANSLATE(D1697, ""en"", ""zh-tw"")"),"1. 他把筆記型電腦和文件放在一個黑色公事包裡。 2. 她不小心把公事包落在了計程車上。")</f>
        <v>1. 他把筆記型電腦和文件放在一個黑色公事包裡。 2. 她不小心把公事包落在了計程車上。</v>
      </c>
    </row>
    <row r="1698">
      <c r="A1698" s="7" t="s">
        <v>5091</v>
      </c>
      <c r="B1698" s="7" t="s">
        <v>5092</v>
      </c>
      <c r="C1698" s="7" t="s">
        <v>17</v>
      </c>
      <c r="D1698" s="7" t="s">
        <v>5093</v>
      </c>
      <c r="E1698" s="3" t="str">
        <f>IFERROR(__xludf.DUMMYFUNCTION("GOOGLETRANSLATE(D1698, ""en"", ""zh-tw"")"),"1. 三年後她晉升為高階經理人。 2. 這項活動旨在推廣健康飲食習慣。 3. 他們在社群媒體上推廣了這款新產品。")</f>
        <v>1. 三年後她晉升為高階經理人。 2. 這項活動旨在推廣健康飲食習慣。 3. 他們在社群媒體上推廣了這款新產品。</v>
      </c>
    </row>
    <row r="1699">
      <c r="A1699" s="7" t="s">
        <v>5094</v>
      </c>
      <c r="B1699" s="7" t="s">
        <v>5095</v>
      </c>
      <c r="C1699" s="7" t="s">
        <v>17</v>
      </c>
      <c r="D1699" s="7" t="s">
        <v>5096</v>
      </c>
      <c r="E1699" s="3" t="str">
        <f>IFERROR(__xludf.DUMMYFUNCTION("GOOGLETRANSLATE(D1699, ""en"", ""zh-tw"")"),"1. 他喜歡購買最新的科技產品。 2. 廚房裡擺滿了各種實用的小工具。")</f>
        <v>1. 他喜歡購買最新的科技產品。 2. 廚房裡擺滿了各種實用的小工具。</v>
      </c>
    </row>
    <row r="1700">
      <c r="A1700" s="7" t="s">
        <v>5097</v>
      </c>
      <c r="B1700" s="7" t="s">
        <v>5098</v>
      </c>
      <c r="C1700" s="7" t="s">
        <v>7</v>
      </c>
      <c r="D1700" s="7" t="s">
        <v>5099</v>
      </c>
      <c r="E1700" s="3" t="str">
        <f>IFERROR(__xludf.DUMMYFUNCTION("GOOGLETRANSLATE(D1700, ""en"", ""zh-tw"")"),"1. 他去裁縫店訂製了一套西裝。 2. 這門課程是根據每個學生的需求量身定制的。")</f>
        <v>1. 他去裁縫店訂製了一套西裝。 2. 這門課程是根據每個學生的需求量身定制的。</v>
      </c>
    </row>
    <row r="1701">
      <c r="A1701" s="7" t="s">
        <v>5100</v>
      </c>
      <c r="B1701" s="7" t="s">
        <v>5101</v>
      </c>
      <c r="C1701" s="7" t="s">
        <v>17</v>
      </c>
      <c r="D1701" s="7" t="s">
        <v>5102</v>
      </c>
      <c r="E1701" s="3" t="str">
        <f>IFERROR(__xludf.DUMMYFUNCTION("GOOGLETRANSLATE(D1701, ""en"", ""zh-tw"")"),"1. 你能舉個具體的例子嗎？ 2. 指示中對截止日期有非常明確的規定。")</f>
        <v>1. 你能舉個具體的例子嗎？ 2. 指示中對截止日期有非常明確的規定。</v>
      </c>
    </row>
    <row r="1702">
      <c r="A1702" s="7" t="s">
        <v>5103</v>
      </c>
      <c r="B1702" s="7" t="s">
        <v>5104</v>
      </c>
      <c r="C1702" s="7" t="s">
        <v>17</v>
      </c>
      <c r="D1702" s="7" t="s">
        <v>5105</v>
      </c>
      <c r="E1702" s="3" t="str">
        <f>IFERROR(__xludf.DUMMYFUNCTION("GOOGLETRANSLATE(D1702, ""en"", ""zh-tw"")"),"1. 他們在市政廳前的廣場見面。 2. 這座新建的購物廣場有100多家店。")</f>
        <v>1. 他們在市政廳前的廣場見面。 2. 這座新建的購物廣場有100多家店。</v>
      </c>
    </row>
    <row r="1703">
      <c r="A1703" s="7" t="s">
        <v>5106</v>
      </c>
      <c r="B1703" s="7" t="s">
        <v>5107</v>
      </c>
      <c r="C1703" s="7" t="s">
        <v>17</v>
      </c>
      <c r="D1703" s="7" t="s">
        <v>5108</v>
      </c>
      <c r="E1703" s="3" t="str">
        <f>IFERROR(__xludf.DUMMYFUNCTION("GOOGLETRANSLATE(D1703, ""en"", ""zh-tw"")"),"1. 她洗完澡出來後拿了條毛巾。 2. 他游泳後用毛巾擦乾了身體。")</f>
        <v>1. 她洗完澡出來後拿了條毛巾。 2. 他游泳後用毛巾擦乾了身體。</v>
      </c>
    </row>
    <row r="1704">
      <c r="A1704" s="7" t="s">
        <v>5109</v>
      </c>
      <c r="B1704" s="7" t="s">
        <v>5110</v>
      </c>
      <c r="C1704" s="7" t="s">
        <v>7</v>
      </c>
      <c r="D1704" s="7" t="s">
        <v>5111</v>
      </c>
      <c r="E1704" s="3" t="str">
        <f>IFERROR(__xludf.DUMMYFUNCTION("GOOGLETRANSLATE(D1704, ""en"", ""zh-tw"")"),"1. 出發時間已列在車票上。 2. 他的新繪畫風格與他以往的作品截然不同。")</f>
        <v>1. 出發時間已列在車票上。 2. 他的新繪畫風格與他以往的作品截然不同。</v>
      </c>
    </row>
    <row r="1705">
      <c r="A1705" s="7" t="s">
        <v>5112</v>
      </c>
      <c r="B1705" s="7" t="s">
        <v>5113</v>
      </c>
      <c r="C1705" s="7" t="s">
        <v>7</v>
      </c>
      <c r="D1705" s="7" t="s">
        <v>5114</v>
      </c>
      <c r="E1705" s="3" t="str">
        <f>IFERROR(__xludf.DUMMYFUNCTION("GOOGLETRANSLATE(D1705, ""en"", ""zh-tw"")"),"1. 您可以查詢運單號，查看包裹的位置。 2. 本公司使用追蹤軟體監控包裹遞送狀況。")</f>
        <v>1. 您可以查詢運單號，查看包裹的位置。 2. 本公司使用追蹤軟體監控包裹遞送狀況。</v>
      </c>
    </row>
    <row r="1706">
      <c r="A1706" s="7" t="s">
        <v>5115</v>
      </c>
      <c r="B1706" s="7" t="s">
        <v>5116</v>
      </c>
      <c r="C1706" s="7" t="s">
        <v>17</v>
      </c>
      <c r="D1706" s="7" t="s">
        <v>5117</v>
      </c>
      <c r="E1706" s="3" t="str">
        <f>IFERROR(__xludf.DUMMYFUNCTION("GOOGLETRANSLATE(D1706, ""en"", ""zh-tw"")"),"1. 請坐在教室前排。 2. 士兵們在前線作戰。 3. 她積極倡導清潔能源。")</f>
        <v>1. 請坐在教室前排。 2. 士兵們在前線作戰。 3. 她積極倡導清潔能源。</v>
      </c>
    </row>
    <row r="1707">
      <c r="A1707" s="7" t="s">
        <v>5118</v>
      </c>
      <c r="B1707" s="7" t="s">
        <v>5119</v>
      </c>
      <c r="C1707" s="7" t="s">
        <v>7</v>
      </c>
      <c r="D1707" s="7" t="s">
        <v>5120</v>
      </c>
      <c r="E1707" s="3" t="str">
        <f>IFERROR(__xludf.DUMMYFUNCTION("GOOGLETRANSLATE(D1707, ""en"", ""zh-tw"")"),"1. 今天會議的議程包括三項內容。 2. 她加入委員會時有自己的打算。")</f>
        <v>1. 今天會議的議程包括三項內容。 2. 她加入委員會時有自己的打算。</v>
      </c>
    </row>
    <row r="1708">
      <c r="A1708" s="7" t="s">
        <v>5121</v>
      </c>
      <c r="B1708" s="7" t="s">
        <v>5122</v>
      </c>
      <c r="C1708" s="7" t="s">
        <v>7</v>
      </c>
      <c r="D1708" s="7" t="s">
        <v>5123</v>
      </c>
      <c r="E1708" s="3" t="str">
        <f>IFERROR(__xludf.DUMMYFUNCTION("GOOGLETRANSLATE(D1708, ""en"", ""zh-tw"")"),"1. 該合約包含一項關於提前終止的條款。 2. 關係子句提供更多關於名詞的資訊。")</f>
        <v>1. 該合約包含一項關於提前終止的條款。 2. 關係子句提供更多關於名詞的資訊。</v>
      </c>
    </row>
    <row r="1709">
      <c r="A1709" s="7" t="s">
        <v>5124</v>
      </c>
      <c r="B1709" s="7" t="s">
        <v>5125</v>
      </c>
      <c r="C1709" s="7" t="s">
        <v>17</v>
      </c>
      <c r="D1709" s="7" t="s">
        <v>5126</v>
      </c>
      <c r="E1709" s="3" t="str">
        <f>IFERROR(__xludf.DUMMYFUNCTION("GOOGLETRANSLATE(D1709, ""en"", ""zh-tw"")"),"1. 大選每四年舉行一次。 2. 她慶祝自己當選市議員。")</f>
        <v>1. 大選每四年舉行一次。 2. 她慶祝自己當選市議員。</v>
      </c>
    </row>
    <row r="1710">
      <c r="A1710" s="7" t="s">
        <v>5127</v>
      </c>
      <c r="B1710" s="7" t="s">
        <v>5128</v>
      </c>
      <c r="C1710" s="7" t="s">
        <v>7</v>
      </c>
      <c r="D1710" s="7" t="s">
        <v>5129</v>
      </c>
      <c r="E1710" s="3" t="str">
        <f>IFERROR(__xludf.DUMMYFUNCTION("GOOGLETRANSLATE(D1710, ""en"", ""zh-tw"")"),"1. 總理宣布了新的經濟政策。 2. 這是城裡最好的飯店。")</f>
        <v>1. 總理宣布了新的經濟政策。 2. 這是城裡最好的飯店。</v>
      </c>
    </row>
    <row r="1711">
      <c r="A1711" s="7" t="s">
        <v>5130</v>
      </c>
      <c r="B1711" s="7" t="s">
        <v>5131</v>
      </c>
      <c r="C1711" s="7" t="s">
        <v>7</v>
      </c>
      <c r="D1711" s="7" t="s">
        <v>5132</v>
      </c>
      <c r="E1711" s="3" t="str">
        <f>IFERROR(__xludf.DUMMYFUNCTION("GOOGLETRANSLATE(D1711, ""en"", ""zh-tw"")"),"1. 倉庫工人用堆高機移動了托盤。 2. 貨物堆放在托盤上，以便於運輸。")</f>
        <v>1. 倉庫工人用堆高機移動了托盤。 2. 貨物堆放在托盤上，以便於運輸。</v>
      </c>
    </row>
    <row r="1712">
      <c r="A1712" s="7" t="s">
        <v>5133</v>
      </c>
      <c r="B1712" s="7" t="s">
        <v>5134</v>
      </c>
      <c r="C1712" s="7" t="s">
        <v>17</v>
      </c>
      <c r="D1712" s="7" t="s">
        <v>5135</v>
      </c>
      <c r="E1712" s="3" t="str">
        <f>IFERROR(__xludf.DUMMYFUNCTION("GOOGLETRANSLATE(D1712, ""en"", ""zh-tw"")"),"1. 她把地址記在筆記本上了。 2. 守門員戴著護膝保護膝蓋。 3. 火箭從發射台上發射出去。")</f>
        <v>1. 她把地址記在筆記本上了。 2. 守門員戴著護膝保護膝蓋。 3. 火箭從發射台上發射出去。</v>
      </c>
    </row>
    <row r="1713">
      <c r="A1713" s="7" t="s">
        <v>5136</v>
      </c>
      <c r="B1713" s="7" t="s">
        <v>5137</v>
      </c>
      <c r="C1713" s="7" t="s">
        <v>17</v>
      </c>
      <c r="D1713" s="7" t="s">
        <v>5138</v>
      </c>
      <c r="E1713" s="3" t="str">
        <f>IFERROR(__xludf.DUMMYFUNCTION("GOOGLETRANSLATE(D1713, ""en"", ""zh-tw"")"),"1. 飯後服用，每日兩次，每次一片。 2. 輸掉這場比賽令人難以接受。")</f>
        <v>1. 飯後服用，每日兩次，每次一片。 2. 輸掉這場比賽令人難以接受。</v>
      </c>
    </row>
    <row r="1714">
      <c r="A1714" s="7" t="s">
        <v>5139</v>
      </c>
      <c r="B1714" s="7" t="s">
        <v>5140</v>
      </c>
      <c r="C1714" s="7" t="s">
        <v>7</v>
      </c>
      <c r="D1714" s="7" t="s">
        <v>5141</v>
      </c>
      <c r="E1714" s="3" t="str">
        <f>IFERROR(__xludf.DUMMYFUNCTION("GOOGLETRANSLATE(D1714, ""en"", ""zh-tw"")"),"1. 老師對作文提出了建設性的回饋意見。 2. 我們歡迎客戶回饋，以改善我們的服務。")</f>
        <v>1. 老師對作文提出了建設性的回饋意見。 2. 我們歡迎客戶回饋，以改善我們的服務。</v>
      </c>
    </row>
    <row r="1715">
      <c r="A1715" s="7" t="s">
        <v>5142</v>
      </c>
      <c r="B1715" s="7" t="s">
        <v>5143</v>
      </c>
      <c r="C1715" s="7" t="s">
        <v>17</v>
      </c>
      <c r="D1715" s="7" t="s">
        <v>5144</v>
      </c>
      <c r="E1715" s="3" t="str">
        <f>IFERROR(__xludf.DUMMYFUNCTION("GOOGLETRANSLATE(D1715, ""en"", ""zh-tw"")"),"1. 航空公司為她免費升等到商務艙。 2. 他把筆記型電腦升級到最新了。")</f>
        <v>1. 航空公司為她免費升等到商務艙。 2. 他把筆記型電腦升級到最新了。</v>
      </c>
    </row>
    <row r="1716">
      <c r="A1716" s="7" t="s">
        <v>5145</v>
      </c>
      <c r="B1716" s="7" t="s">
        <v>5146</v>
      </c>
      <c r="C1716" s="7" t="s">
        <v>7</v>
      </c>
      <c r="D1716" s="7" t="s">
        <v>5147</v>
      </c>
      <c r="E1716" s="3" t="str">
        <f>IFERROR(__xludf.DUMMYFUNCTION("GOOGLETRANSLATE(D1716, ""en"", ""zh-tw"")"),"1. 這次旅行的亮點是參觀古老的寺廟。 2. 她著重強調了文件中的要點。")</f>
        <v>1. 這次旅行的亮點是參觀古老的寺廟。 2. 她著重強調了文件中的要點。</v>
      </c>
    </row>
    <row r="1717">
      <c r="A1717" s="7" t="s">
        <v>5148</v>
      </c>
      <c r="B1717" s="7" t="s">
        <v>5149</v>
      </c>
      <c r="C1717" s="7" t="s">
        <v>7</v>
      </c>
      <c r="D1717" s="7" t="s">
        <v>5150</v>
      </c>
      <c r="E1717" s="3" t="str">
        <f>IFERROR(__xludf.DUMMYFUNCTION("GOOGLETRANSLATE(D1717, ""en"", ""zh-tw"")"),"1. 她在市中心買了一間公寓。 2. 這間公寓大樓設有共用游泳池和健身房。")</f>
        <v>1. 她在市中心買了一間公寓。 2. 這間公寓大樓設有共用游泳池和健身房。</v>
      </c>
    </row>
    <row r="1718">
      <c r="A1718" s="7" t="s">
        <v>5151</v>
      </c>
      <c r="B1718" s="7" t="s">
        <v>5152</v>
      </c>
      <c r="C1718" s="7" t="s">
        <v>279</v>
      </c>
      <c r="D1718" s="7" t="s">
        <v>5153</v>
      </c>
      <c r="E1718" s="3" t="str">
        <f>IFERROR(__xludf.DUMMYFUNCTION("GOOGLETRANSLATE(D1718, ""en"", ""zh-tw"")"),"1. 該公司對其目標客戶的人口統計特徵進行了研究。 2. 該城市的人口統計特徵發生了顯著變化。")</f>
        <v>1. 該公司對其目標客戶的人口統計特徵進行了研究。 2. 該城市的人口統計特徵發生了顯著變化。</v>
      </c>
    </row>
    <row r="1719">
      <c r="A1719" s="7" t="s">
        <v>5154</v>
      </c>
      <c r="B1719" s="7" t="s">
        <v>5155</v>
      </c>
      <c r="C1719" s="7" t="s">
        <v>17</v>
      </c>
      <c r="D1719" s="7" t="s">
        <v>5156</v>
      </c>
      <c r="E1719" s="3" t="str">
        <f>IFERROR(__xludf.DUMMYFUNCTION("GOOGLETRANSLATE(D1719, ""en"", ""zh-tw"")"),"1. 他們把地下室改造成了家庭劇院。 2. 洪水損壞了地下室裡的所有東西。")</f>
        <v>1. 他們把地下室改造成了家庭劇院。 2. 洪水損壞了地下室裡的所有東西。</v>
      </c>
    </row>
    <row r="1720">
      <c r="A1720" s="7" t="s">
        <v>5157</v>
      </c>
      <c r="B1720" s="7" t="s">
        <v>5158</v>
      </c>
      <c r="C1720" s="7" t="s">
        <v>17</v>
      </c>
      <c r="D1720" s="7" t="s">
        <v>5159</v>
      </c>
      <c r="E1720" s="3" t="str">
        <f>IFERROR(__xludf.DUMMYFUNCTION("GOOGLETRANSLATE(D1720, ""en"", ""zh-tw"")"),"1. 酒窖裡存放著數百瓶葡萄酒。 2. 冬天，他們把蔬菜儲存在酒窖裡。")</f>
        <v>1. 酒窖裡存放著數百瓶葡萄酒。 2. 冬天，他們把蔬菜儲存在酒窖裡。</v>
      </c>
    </row>
    <row r="1721">
      <c r="A1721" s="7" t="s">
        <v>5160</v>
      </c>
      <c r="B1721" s="7" t="s">
        <v>5161</v>
      </c>
      <c r="C1721" s="7" t="s">
        <v>17</v>
      </c>
      <c r="D1721" s="7" t="s">
        <v>5162</v>
      </c>
      <c r="E1721" s="3" t="str">
        <f>IFERROR(__xludf.DUMMYFUNCTION("GOOGLETRANSLATE(D1721, ""en"", ""zh-tw"")"),"1. 他們在閣樓裡發現了舊照片。 2. 她把閣樓改造成了一間小臥室。")</f>
        <v>1. 他們在閣樓裡發現了舊照片。 2. 她把閣樓改造成了一間小臥室。</v>
      </c>
    </row>
    <row r="1722">
      <c r="A1722" s="7" t="s">
        <v>5163</v>
      </c>
      <c r="B1722" s="7" t="s">
        <v>5164</v>
      </c>
      <c r="C1722" s="7" t="s">
        <v>7</v>
      </c>
      <c r="D1722" s="7" t="s">
        <v>5165</v>
      </c>
      <c r="E1722" s="3" t="str">
        <f>IFERROR(__xludf.DUMMYFUNCTION("GOOGLETRANSLATE(D1722, ""en"", ""zh-tw"")"),"1. 這位名人乘坐豪華轎車抵達活動現場。 2. 他們為婚禮當天預訂了一輛豪華轎車。")</f>
        <v>1. 這位名人乘坐豪華轎車抵達活動現場。 2. 他們為婚禮當天預訂了一輛豪華轎車。</v>
      </c>
    </row>
    <row r="1723">
      <c r="A1723" s="7" t="s">
        <v>5166</v>
      </c>
      <c r="B1723" s="7" t="s">
        <v>5167</v>
      </c>
      <c r="C1723" s="7" t="s">
        <v>17</v>
      </c>
      <c r="D1723" s="7" t="s">
        <v>5168</v>
      </c>
      <c r="E1723" s="3" t="str">
        <f>IFERROR(__xludf.DUMMYFUNCTION("GOOGLETRANSLATE(D1723, ""en"", ""zh-tw"")"),"1. 身為肉食者，他很難接受素食菜單。 2. 獅子是天生的肉食動物。")</f>
        <v>1. 身為肉食者，他很難接受素食菜單。 2. 獅子是天生的肉食動物。</v>
      </c>
    </row>
    <row r="1724">
      <c r="A1724" s="7" t="s">
        <v>5169</v>
      </c>
      <c r="B1724" s="7" t="s">
        <v>5170</v>
      </c>
      <c r="C1724" s="7" t="s">
        <v>7</v>
      </c>
      <c r="D1724" s="7" t="s">
        <v>5171</v>
      </c>
      <c r="E1724" s="3" t="str">
        <f>IFERROR(__xludf.DUMMYFUNCTION("GOOGLETRANSLATE(D1724, ""en"", ""zh-tw"")"),"1. 她的沉默似乎暗示她不同意。 2. 新數據顯示情況正在改善。")</f>
        <v>1. 她的沉默似乎暗示她不同意。 2. 新數據顯示情況正在改善。</v>
      </c>
    </row>
    <row r="1725">
      <c r="A1725" s="7" t="s">
        <v>5172</v>
      </c>
      <c r="B1725" s="7" t="s">
        <v>5173</v>
      </c>
      <c r="C1725" s="7" t="s">
        <v>279</v>
      </c>
      <c r="D1725" s="7" t="s">
        <v>5174</v>
      </c>
      <c r="E1725" s="3" t="str">
        <f>IFERROR(__xludf.DUMMYFUNCTION("GOOGLETRANSLATE(D1725, ""en"", ""zh-tw"")"),"1. 該公司上個財政年度業績表現強勁。 2. 政府正努力提高財政責任感。")</f>
        <v>1. 該公司上個財政年度業績表現強勁。 2. 政府正努力提高財政責任感。</v>
      </c>
    </row>
    <row r="1726">
      <c r="A1726" s="7" t="s">
        <v>5175</v>
      </c>
      <c r="B1726" s="7" t="s">
        <v>5176</v>
      </c>
      <c r="C1726" s="7" t="s">
        <v>7</v>
      </c>
      <c r="D1726" s="7" t="s">
        <v>5177</v>
      </c>
      <c r="E1726" s="3" t="str">
        <f>IFERROR(__xludf.DUMMYFUNCTION("GOOGLETRANSLATE(D1726, ""en"", ""zh-tw"")"),"1. 兩國在多年衝突後簽署了和平條約。 2. 該貿易條約降低了進口商品的關稅。")</f>
        <v>1. 兩國在多年衝突後簽署了和平條約。 2. 該貿易條約降低了進口商品的關稅。</v>
      </c>
    </row>
    <row r="1727">
      <c r="A1727" s="7" t="s">
        <v>5178</v>
      </c>
      <c r="B1727" s="7" t="s">
        <v>5179</v>
      </c>
      <c r="C1727" s="7" t="s">
        <v>17</v>
      </c>
      <c r="D1727" s="7" t="s">
        <v>5180</v>
      </c>
      <c r="E1727" s="3" t="str">
        <f>IFERROR(__xludf.DUMMYFUNCTION("GOOGLETRANSLATE(D1727, ""en"", ""zh-tw"")"),"1. 他們租了一輛貨車來搬運家具。 2. 送貨貨車清晨就到達倉庫了。")</f>
        <v>1. 他們租了一輛貨車來搬運家具。 2. 送貨貨車清晨就到達倉庫了。</v>
      </c>
    </row>
    <row r="1728">
      <c r="A1728" s="7" t="s">
        <v>5181</v>
      </c>
      <c r="B1728" s="7" t="s">
        <v>5182</v>
      </c>
      <c r="C1728" s="7" t="s">
        <v>7</v>
      </c>
      <c r="D1728" s="7" t="s">
        <v>5183</v>
      </c>
      <c r="E1728" s="3" t="str">
        <f>IFERROR(__xludf.DUMMYFUNCTION("GOOGLETRANSLATE(D1728, ""en"", ""zh-tw"")"),"1. 這座城市被稱為通往北方的門戶。 2. 教育是通往更好機會的途徑。")</f>
        <v>1. 這座城市被稱為通往北方的門戶。 2. 教育是通往更好機會的途徑。</v>
      </c>
    </row>
    <row r="1729">
      <c r="A1729" s="7" t="s">
        <v>5184</v>
      </c>
      <c r="B1729" s="7" t="s">
        <v>5185</v>
      </c>
      <c r="C1729" s="7" t="s">
        <v>17</v>
      </c>
      <c r="D1729" s="7" t="s">
        <v>5186</v>
      </c>
      <c r="E1729" s="3" t="str">
        <f>IFERROR(__xludf.DUMMYFUNCTION("GOOGLETRANSLATE(D1729, ""en"", ""zh-tw"")"),"1. 她就新的行銷策略做了報告。 2. 頒獎典禮在年度晚宴上舉行。")</f>
        <v>1. 她就新的行銷策略做了報告。 2. 頒獎典禮在年度晚宴上舉行。</v>
      </c>
    </row>
    <row r="1730">
      <c r="A1730" s="7" t="s">
        <v>5187</v>
      </c>
      <c r="B1730" s="7" t="s">
        <v>5188</v>
      </c>
      <c r="C1730" s="7" t="s">
        <v>17</v>
      </c>
      <c r="D1730" s="7" t="s">
        <v>5189</v>
      </c>
      <c r="E1730" s="3" t="str">
        <f>IFERROR(__xludf.DUMMYFUNCTION("GOOGLETRANSLATE(D1730, ""en"", ""zh-tw"")"),"1. 請耐心等待我們處理您的請求。 2. 這位醫生今天早上接診了五位病人。")</f>
        <v>1. 請耐心等待我們處理您的請求。 2. 這位醫生今天早上接診了五位病人。</v>
      </c>
    </row>
    <row r="1731">
      <c r="A1731" s="7" t="s">
        <v>5190</v>
      </c>
      <c r="B1731" s="7" t="s">
        <v>5191</v>
      </c>
      <c r="C1731" s="7" t="s">
        <v>7</v>
      </c>
      <c r="D1731" s="7" t="s">
        <v>5192</v>
      </c>
      <c r="E1731" s="3" t="str">
        <f>IFERROR(__xludf.DUMMYFUNCTION("GOOGLETRANSLATE(D1731, ""en"", ""zh-tw"")"),"1. 飯店提供前往機場的免費接駁車。 2. 太空梭成功發射。 3. 她每天往返於兩個辦公室之間。")</f>
        <v>1. 飯店提供前往機場的免費接駁車。 2. 太空梭成功發射。 3. 她每天往返於兩個辦公室之間。</v>
      </c>
    </row>
    <row r="1732">
      <c r="A1732" s="7" t="s">
        <v>5193</v>
      </c>
      <c r="B1732" s="7" t="s">
        <v>5194</v>
      </c>
      <c r="C1732" s="7" t="s">
        <v>7</v>
      </c>
      <c r="D1732" s="7" t="s">
        <v>5195</v>
      </c>
      <c r="E1732" s="3" t="str">
        <f>IFERROR(__xludf.DUMMYFUNCTION("GOOGLETRANSLATE(D1732, ""en"", ""zh-tw"")"),"1. 請參閱手冊以取得操作說明。 2. 他在演講過程中參考了筆記。 3. 你所說的「項目」指的是什麼？")</f>
        <v>1. 請參閱手冊以取得操作說明。 2. 他在演講過程中參考了筆記。 3. 你所說的「項目」指的是什麼？</v>
      </c>
    </row>
    <row r="1733">
      <c r="A1733" s="7" t="s">
        <v>5196</v>
      </c>
      <c r="B1733" s="7" t="s">
        <v>5197</v>
      </c>
      <c r="C1733" s="7" t="s">
        <v>7</v>
      </c>
      <c r="D1733" s="7" t="s">
        <v>5198</v>
      </c>
      <c r="E1733" s="3" t="str">
        <f>IFERROR(__xludf.DUMMYFUNCTION("GOOGLETRANSLATE(D1733, ""en"", ""zh-tw"")"),"1. 如果您需要協助，請撥打我們的熱線。 2. 她週末在心理健康熱線做志工。")</f>
        <v>1. 如果您需要協助，請撥打我們的熱線。 2. 她週末在心理健康熱線做志工。</v>
      </c>
    </row>
    <row r="1734">
      <c r="A1734" s="7" t="s">
        <v>5199</v>
      </c>
      <c r="B1734" s="7" t="s">
        <v>5200</v>
      </c>
      <c r="C1734" s="7" t="s">
        <v>7</v>
      </c>
      <c r="D1734" s="7" t="s">
        <v>5201</v>
      </c>
      <c r="E1734" s="3" t="str">
        <f>IFERROR(__xludf.DUMMYFUNCTION("GOOGLETRANSLATE(D1734, ""en"", ""zh-tw"")"),"1. 本產品提供兩年保固。 2. 我保證按時完成工作。 3. 努力工作並不總是保證成功。")</f>
        <v>1. 本產品提供兩年保固。 2. 我保證按時完成工作。 3. 努力工作並不總是保證成功。</v>
      </c>
    </row>
    <row r="1735">
      <c r="A1735" s="7" t="s">
        <v>5202</v>
      </c>
      <c r="B1735" s="7" t="s">
        <v>5203</v>
      </c>
      <c r="C1735" s="7" t="s">
        <v>279</v>
      </c>
      <c r="D1735" s="7" t="s">
        <v>5204</v>
      </c>
      <c r="E1735" s="3" t="str">
        <f>IFERROR(__xludf.DUMMYFUNCTION("GOOGLETRANSLATE(D1735, ""en"", ""zh-tw"")"),"1. 房東向房客發出了驅逐通知。 2. 由於租客未支付租金，驅逐程序得以執行。")</f>
        <v>1. 房東向房客發出了驅逐通知。 2. 由於租客未支付租金，驅逐程序得以執行。</v>
      </c>
    </row>
    <row r="1736">
      <c r="A1736" s="7" t="s">
        <v>5205</v>
      </c>
      <c r="B1736" s="7" t="s">
        <v>5206</v>
      </c>
      <c r="C1736" s="7" t="s">
        <v>7</v>
      </c>
      <c r="D1736" s="7" t="s">
        <v>5207</v>
      </c>
      <c r="E1736" s="3" t="str">
        <f>IFERROR(__xludf.DUMMYFUNCTION("GOOGLETRANSLATE(D1736, ""en"", ""zh-tw"")"),"1. 她的論點清晰且合乎邏輯。 2. 在進行大額消費之前先存錢是合乎邏輯的。")</f>
        <v>1. 她的論點清晰且合乎邏輯。 2. 在進行大額消費之前先存錢是合乎邏輯的。</v>
      </c>
    </row>
    <row r="1737">
      <c r="A1737" s="7" t="s">
        <v>5208</v>
      </c>
      <c r="B1737" s="7" t="s">
        <v>5209</v>
      </c>
      <c r="C1737" s="7" t="s">
        <v>17</v>
      </c>
      <c r="D1737" s="7" t="s">
        <v>5210</v>
      </c>
      <c r="E1737" s="3" t="str">
        <f>IFERROR(__xludf.DUMMYFUNCTION("GOOGLETRANSLATE(D1737, ""en"", ""zh-tw"")"),"1. 假日期間，機場擠滿了旅客。 2. 她是一位經驗豐富的旅行者，去過40多個國家。")</f>
        <v>1. 假日期間，機場擠滿了旅客。 2. 她是一位經驗豐富的旅行者，去過40多個國家。</v>
      </c>
    </row>
    <row r="1738">
      <c r="A1738" s="7" t="s">
        <v>5211</v>
      </c>
      <c r="B1738" s="7" t="s">
        <v>5212</v>
      </c>
      <c r="C1738" s="7" t="s">
        <v>7</v>
      </c>
      <c r="D1738" s="7" t="s">
        <v>5213</v>
      </c>
      <c r="E1738" s="3" t="str">
        <f>IFERROR(__xludf.DUMMYFUNCTION("GOOGLETRANSLATE(D1738, ""en"", ""zh-tw"")"),"1. 他們以批發價購買商品，然後零售。 2. 批發市場一大早就開門營業。 3. 經濟衰退期間，該公司大規模裁員。")</f>
        <v>1. 他們以批發價購買商品，然後零售。 2. 批發市場一大早就開門營業。 3. 經濟衰退期間，該公司大規模裁員。</v>
      </c>
    </row>
    <row r="1739">
      <c r="A1739" s="7" t="s">
        <v>5214</v>
      </c>
      <c r="B1739" s="7" t="s">
        <v>5215</v>
      </c>
      <c r="C1739" s="7" t="s">
        <v>7</v>
      </c>
      <c r="D1739" s="7" t="s">
        <v>5216</v>
      </c>
      <c r="E1739" s="3" t="str">
        <f>IFERROR(__xludf.DUMMYFUNCTION("GOOGLETRANSLATE(D1739, ""en"", ""zh-tw"")"),"1. 科技創新改變了我們的生活方式。 2. 公司鼓勵員工進行創新。")</f>
        <v>1. 科技創新改變了我們的生活方式。 2. 公司鼓勵員工進行創新。</v>
      </c>
    </row>
    <row r="1740">
      <c r="A1740" s="7" t="s">
        <v>5217</v>
      </c>
      <c r="B1740" s="7" t="s">
        <v>5218</v>
      </c>
      <c r="C1740" s="7" t="s">
        <v>279</v>
      </c>
      <c r="D1740" s="7" t="s">
        <v>5219</v>
      </c>
      <c r="E1740" s="3" t="str">
        <f>IFERROR(__xludf.DUMMYFUNCTION("GOOGLETRANSLATE(D1740, ""en"", ""zh-tw"")"),"1. 乘客應提早一小時到達登船點。 2. 部隊登船工作於黎明時分開始。")</f>
        <v>1. 乘客應提早一小時到達登船點。 2. 部隊登船工作於黎明時分開始。</v>
      </c>
    </row>
    <row r="1741">
      <c r="A1741" s="7" t="s">
        <v>5220</v>
      </c>
      <c r="B1741" s="7" t="s">
        <v>5221</v>
      </c>
      <c r="C1741" s="7" t="s">
        <v>279</v>
      </c>
      <c r="D1741" s="7" t="s">
        <v>5222</v>
      </c>
      <c r="E1741" s="3" t="str">
        <f>IFERROR(__xludf.DUMMYFUNCTION("GOOGLETRANSLATE(D1741, ""en"", ""zh-tw"")"),"1. 談判過程中雙方都不願意讓步。 2. 政府授予了興建高速公路的特許權。 3. 她在小賣部買了爆米花。")</f>
        <v>1. 談判過程中雙方都不願意讓步。 2. 政府授予了興建高速公路的特許權。 3. 她在小賣部買了爆米花。</v>
      </c>
    </row>
    <row r="1742">
      <c r="A1742" s="7" t="s">
        <v>5223</v>
      </c>
      <c r="B1742" s="7" t="s">
        <v>5224</v>
      </c>
      <c r="C1742" s="7" t="s">
        <v>7</v>
      </c>
      <c r="D1742" s="7" t="s">
        <v>5225</v>
      </c>
      <c r="E1742" s="3" t="str">
        <f>IFERROR(__xludf.DUMMYFUNCTION("GOOGLETRANSLATE(D1742, ""en"", ""zh-tw"")"),"1. 她對食物非常挑剔。 2. 這所大學的入學過程非常嚴格。")</f>
        <v>1. 她對食物非常挑剔。 2. 這所大學的入學過程非常嚴格。</v>
      </c>
    </row>
    <row r="1743">
      <c r="A1743" s="7" t="s">
        <v>5226</v>
      </c>
      <c r="B1743" s="7" t="s">
        <v>5227</v>
      </c>
      <c r="C1743" s="7" t="s">
        <v>17</v>
      </c>
      <c r="D1743" s="7" t="s">
        <v>5228</v>
      </c>
      <c r="E1743" s="3" t="str">
        <f>IFERROR(__xludf.DUMMYFUNCTION("GOOGLETRANSLATE(D1743, ""en"", ""zh-tw"")"),"1. 他們在前往目的地的途中，在汽車旅館住了一晚。 2. 這家汽車旅館為所有房客提供免費停車。")</f>
        <v>1. 他們在前往目的地的途中，在汽車旅館住了一晚。 2. 這家汽車旅館為所有房客提供免費停車。</v>
      </c>
    </row>
    <row r="1744">
      <c r="A1744" s="7" t="s">
        <v>5229</v>
      </c>
      <c r="B1744" s="7" t="s">
        <v>5230</v>
      </c>
      <c r="C1744" s="7" t="s">
        <v>279</v>
      </c>
      <c r="D1744" s="7" t="s">
        <v>5231</v>
      </c>
      <c r="E1744" s="3" t="str">
        <f>IFERROR(__xludf.DUMMYFUNCTION("GOOGLETRANSLATE(D1744, ""en"", ""zh-tw"")"),"1. 這種粗魯的行為沒有任何正當理由。 2. 她對自己的決定給了明確的理由。")</f>
        <v>1. 這種粗魯的行為沒有任何正當理由。 2. 她對自己的決定給了明確的理由。</v>
      </c>
    </row>
    <row r="1745">
      <c r="A1745" s="7" t="s">
        <v>5232</v>
      </c>
      <c r="B1745" s="7" t="s">
        <v>5233</v>
      </c>
      <c r="C1745" s="7" t="s">
        <v>279</v>
      </c>
      <c r="D1745" s="7" t="s">
        <v>5234</v>
      </c>
      <c r="E1745" s="3" t="str">
        <f>IFERROR(__xludf.DUMMYFUNCTION("GOOGLETRANSLATE(D1745, ""en"", ""zh-tw"")"),"1. 一位調解員被請來協助解決爭端。 2. 她擔任了兩個衝突團隊之間的調解人。")</f>
        <v>1. 一位調解員被請來協助解決爭端。 2. 她擔任了兩個衝突團隊之間的調解人。</v>
      </c>
    </row>
    <row r="1746">
      <c r="A1746" s="7" t="s">
        <v>5235</v>
      </c>
      <c r="B1746" s="7" t="s">
        <v>5236</v>
      </c>
      <c r="C1746" s="7" t="s">
        <v>17</v>
      </c>
      <c r="D1746" s="7" t="s">
        <v>5237</v>
      </c>
      <c r="E1746" s="3" t="str">
        <f>IFERROR(__xludf.DUMMYFUNCTION("GOOGLETRANSLATE(D1746, ""en"", ""zh-tw"")"),"1. 她在這家公司工作超過十年了。 2. 過去十年，科技發生了翻天覆地的變化。")</f>
        <v>1. 她在這家公司工作超過十年了。 2. 過去十年，科技發生了翻天覆地的變化。</v>
      </c>
    </row>
    <row r="1747">
      <c r="A1747" s="7" t="s">
        <v>5238</v>
      </c>
      <c r="B1747" s="7" t="s">
        <v>5239</v>
      </c>
      <c r="C1747" s="7" t="s">
        <v>17</v>
      </c>
      <c r="D1747" s="7" t="s">
        <v>5240</v>
      </c>
      <c r="E1747" s="3" t="str">
        <f>IFERROR(__xludf.DUMMYFUNCTION("GOOGLETRANSLATE(D1747, ""en"", ""zh-tw"")"),"1. 提交報告前請仔細檢查計算結果。 2. 她的決定是基於對風險的仔細評估。")</f>
        <v>1. 提交報告前請仔細檢查計算結果。 2. 她的決定是基於對風險的仔細評估。</v>
      </c>
    </row>
    <row r="1748">
      <c r="A1748" s="7" t="s">
        <v>5241</v>
      </c>
      <c r="B1748" s="7" t="s">
        <v>5242</v>
      </c>
      <c r="C1748" s="7" t="s">
        <v>17</v>
      </c>
      <c r="D1748" s="7" t="s">
        <v>5243</v>
      </c>
      <c r="E1748" s="3" t="str">
        <f>IFERROR(__xludf.DUMMYFUNCTION("GOOGLETRANSLATE(D1748, ""en"", ""zh-tw"")"),"1. 從台北到東京搭飛機大約需要三個小時。 2. 學習語言是一段漫長的旅程。 3. 他們搭火車穿越了整個國家。")</f>
        <v>1. 從台北到東京搭飛機大約需要三個小時。 2. 學習語言是一段漫長的旅程。 3. 他們搭火車穿越了整個國家。</v>
      </c>
    </row>
    <row r="1749">
      <c r="A1749" s="7" t="s">
        <v>5244</v>
      </c>
      <c r="B1749" s="7" t="s">
        <v>5245</v>
      </c>
      <c r="C1749" s="7" t="s">
        <v>17</v>
      </c>
      <c r="D1749" s="7" t="s">
        <v>5246</v>
      </c>
      <c r="E1749" s="3" t="str">
        <f>IFERROR(__xludf.DUMMYFUNCTION("GOOGLETRANSLATE(D1749, ""en"", ""zh-tw"")"),"1. 她總是把辦公桌收拾得井井有條。 2. 他喝威士忌時不加冰，只喝純威士忌。")</f>
        <v>1. 她總是把辦公桌收拾得井井有條。 2. 他喝威士忌時不加冰，只喝純威士忌。</v>
      </c>
    </row>
    <row r="1750">
      <c r="A1750" s="7" t="s">
        <v>5247</v>
      </c>
      <c r="B1750" s="7" t="s">
        <v>5248</v>
      </c>
      <c r="C1750" s="7" t="s">
        <v>7</v>
      </c>
      <c r="D1750" s="7" t="s">
        <v>5249</v>
      </c>
      <c r="E1750" s="3" t="str">
        <f>IFERROR(__xludf.DUMMYFUNCTION("GOOGLETRANSLATE(D1750, ""en"", ""zh-tw"")"),"1. 該專案的主要目標是降低成本。 2. 評估情況時盡量保持客觀。")</f>
        <v>1. 該專案的主要目標是降低成本。 2. 評估情況時盡量保持客觀。</v>
      </c>
    </row>
    <row r="1751">
      <c r="A1751" s="7" t="s">
        <v>5250</v>
      </c>
      <c r="B1751" s="7" t="s">
        <v>5251</v>
      </c>
      <c r="C1751" s="7" t="s">
        <v>7</v>
      </c>
      <c r="D1751" s="7" t="s">
        <v>5252</v>
      </c>
      <c r="E1751" s="3" t="str">
        <f>IFERROR(__xludf.DUMMYFUNCTION("GOOGLETRANSLATE(D1751, ""en"", ""zh-tw"")"),"1. 本週末商店有促銷折扣。 2. 她為新產品設計了宣傳品。")</f>
        <v>1. 本週末商店有促銷折扣。 2. 她為新產品設計了宣傳品。</v>
      </c>
    </row>
    <row r="1752">
      <c r="A1752" s="7" t="s">
        <v>5253</v>
      </c>
      <c r="B1752" s="7" t="s">
        <v>5254</v>
      </c>
      <c r="C1752" s="7" t="s">
        <v>17</v>
      </c>
      <c r="D1752" s="7" t="s">
        <v>5255</v>
      </c>
      <c r="E1752" s="3" t="str">
        <f>IFERROR(__xludf.DUMMYFUNCTION("GOOGLETRANSLATE(D1752, ""en"", ""zh-tw"")"),"1. 這座城市每年吸引數百萬遊客。 2. 她住在海灘附近的觀光區。")</f>
        <v>1. 這座城市每年吸引數百萬遊客。 2. 她住在海灘附近的觀光區。</v>
      </c>
    </row>
    <row r="1753">
      <c r="A1753" s="7" t="s">
        <v>5256</v>
      </c>
      <c r="B1753" s="7" t="s">
        <v>5257</v>
      </c>
      <c r="C1753" s="7" t="s">
        <v>7</v>
      </c>
      <c r="D1753" s="7" t="s">
        <v>5258</v>
      </c>
      <c r="E1753" s="3" t="str">
        <f>IFERROR(__xludf.DUMMYFUNCTION("GOOGLETRANSLATE(D1753, ""en"", ""zh-tw"")"),"1. 她以一句名言作為演講的開場白。 2. 你能給我一份維修報價嗎？ 3. 他引用了莎士比亞的一句台詞。")</f>
        <v>1. 她以一句名言作為演講的開場白。 2. 你能給我一份維修報價嗎？ 3. 他引用了莎士比亞的一句台詞。</v>
      </c>
    </row>
    <row r="1754">
      <c r="A1754" s="7" t="s">
        <v>5259</v>
      </c>
      <c r="B1754" s="7" t="s">
        <v>5260</v>
      </c>
      <c r="C1754" s="7" t="s">
        <v>17</v>
      </c>
      <c r="D1754" s="7" t="s">
        <v>5261</v>
      </c>
      <c r="E1754" s="3" t="str">
        <f>IFERROR(__xludf.DUMMYFUNCTION("GOOGLETRANSLATE(D1754, ""en"", ""zh-tw"")"),"1. 菜單上有很多素食選擇。 2. 多年來，她曾在多個行業工作過。")</f>
        <v>1. 菜單上有很多素食選擇。 2. 多年來，她曾在多個行業工作過。</v>
      </c>
    </row>
    <row r="1755">
      <c r="A1755" s="7" t="s">
        <v>5262</v>
      </c>
      <c r="B1755" s="7" t="s">
        <v>5263</v>
      </c>
      <c r="C1755" s="7" t="s">
        <v>7</v>
      </c>
      <c r="D1755" s="7" t="s">
        <v>5264</v>
      </c>
      <c r="E1755" s="3" t="str">
        <f>IFERROR(__xludf.DUMMYFUNCTION("GOOGLETRANSLATE(D1755, ""en"", ""zh-tw"")"),"1. 消費者對環保產品的需求日益增長。 2. 公司進行了一項調查以了解消費者需求。")</f>
        <v>1. 消費者對環保產品的需求日益增長。 2. 公司進行了一項調查以了解消費者需求。</v>
      </c>
    </row>
    <row r="1756">
      <c r="A1756" s="7" t="s">
        <v>5265</v>
      </c>
      <c r="B1756" s="7" t="s">
        <v>5266</v>
      </c>
      <c r="C1756" s="7" t="s">
        <v>7</v>
      </c>
      <c r="D1756" s="7" t="s">
        <v>5267</v>
      </c>
      <c r="E1756" s="3" t="str">
        <f>IFERROR(__xludf.DUMMYFUNCTION("GOOGLETRANSLATE(D1756, ""en"", ""zh-tw"")"),"1. 如有任何技術問題，請聯絡技術支援。 2. 技術支援全天24小時提供服務。")</f>
        <v>1. 如有任何技術問題，請聯絡技術支援。 2. 技術支援全天24小時提供服務。</v>
      </c>
    </row>
    <row r="1757">
      <c r="A1757" s="7" t="s">
        <v>5268</v>
      </c>
      <c r="B1757" s="7" t="s">
        <v>5269</v>
      </c>
      <c r="C1757" s="7" t="s">
        <v>7</v>
      </c>
      <c r="D1757" s="7" t="s">
        <v>5270</v>
      </c>
      <c r="E1757" s="3" t="str">
        <f>IFERROR(__xludf.DUMMYFUNCTION("GOOGLETRANSLATE(D1757, ""en"", ""zh-tw"")"),"1. 他們前往倫敦途中在杜拜短暫停留。 2. 她利用這次停留時間遊覽了這座城市幾個小時。")</f>
        <v>1. 他們前往倫敦途中在杜拜短暫停留。 2. 她利用這次停留時間遊覽了這座城市幾個小時。</v>
      </c>
    </row>
    <row r="1758">
      <c r="A1758" s="7" t="s">
        <v>5271</v>
      </c>
      <c r="B1758" s="7" t="s">
        <v>5272</v>
      </c>
      <c r="C1758" s="7" t="s">
        <v>279</v>
      </c>
      <c r="D1758" s="7" t="s">
        <v>5273</v>
      </c>
      <c r="E1758" s="3" t="str">
        <f>IFERROR(__xludf.DUMMYFUNCTION("GOOGLETRANSLATE(D1758, ""en"", ""zh-tw"")"),"1. 接待外國政要有嚴格的禮儀。 2. 電腦之間透過網際網路協定進行通訊。 3. 該協議已由所有成員國簽署。")</f>
        <v>1. 接待外國政要有嚴格的禮儀。 2. 電腦之間透過網際網路協定進行通訊。 3. 該協議已由所有成員國簽署。</v>
      </c>
    </row>
    <row r="1759">
      <c r="A1759" s="7" t="s">
        <v>5274</v>
      </c>
      <c r="B1759" s="7" t="s">
        <v>5275</v>
      </c>
      <c r="C1759" s="7" t="s">
        <v>17</v>
      </c>
      <c r="D1759" s="7" t="s">
        <v>5276</v>
      </c>
      <c r="E1759" s="3" t="str">
        <f>IFERROR(__xludf.DUMMYFUNCTION("GOOGLETRANSLATE(D1759, ""en"", ""zh-tw"")"),"1. 請穿著正裝參加儀式。 2. 她收到了一封公司寄來的正式信函。")</f>
        <v>1. 請穿著正裝參加儀式。 2. 她收到了一封公司寄來的正式信函。</v>
      </c>
    </row>
    <row r="1760">
      <c r="A1760" s="7" t="s">
        <v>5277</v>
      </c>
      <c r="B1760" s="7" t="s">
        <v>5278</v>
      </c>
      <c r="C1760" s="7" t="s">
        <v>7</v>
      </c>
      <c r="D1760" s="7" t="s">
        <v>5279</v>
      </c>
      <c r="E1760" s="3" t="str">
        <f>IFERROR(__xludf.DUMMYFUNCTION("GOOGLETRANSLATE(D1760, ""en"", ""zh-tw"")"),"1. 他們翻新了廚房，換了新的櫥櫃和檯面。 2. 這家商店去年進行了全面翻新。")</f>
        <v>1. 他們翻新了廚房，換了新的櫥櫃和檯面。 2. 這家商店去年進行了全面翻新。</v>
      </c>
    </row>
    <row r="1761">
      <c r="A1761" s="7" t="s">
        <v>5280</v>
      </c>
      <c r="B1761" s="7" t="s">
        <v>5281</v>
      </c>
      <c r="C1761" s="7" t="s">
        <v>7</v>
      </c>
      <c r="D1761" s="7" t="s">
        <v>5282</v>
      </c>
      <c r="E1761" s="3" t="str">
        <f>IFERROR(__xludf.DUMMYFUNCTION("GOOGLETRANSLATE(D1761, ""en"", ""zh-tw"")"),"1. 請盡快回覆郵件。 2. 是什麼促使你改變職涯方向？ 3. 這位演員忘了台詞，需要提詞。")</f>
        <v>1. 請盡快回覆郵件。 2. 是什麼促使你改變職涯方向？ 3. 這位演員忘了台詞，需要提詞。</v>
      </c>
    </row>
    <row r="1762">
      <c r="A1762" s="7" t="s">
        <v>5283</v>
      </c>
      <c r="B1762" s="7" t="s">
        <v>5284</v>
      </c>
      <c r="C1762" s="7" t="s">
        <v>7</v>
      </c>
      <c r="D1762" s="7" t="s">
        <v>5285</v>
      </c>
      <c r="E1762" s="3" t="str">
        <f>IFERROR(__xludf.DUMMYFUNCTION("GOOGLETRANSLATE(D1762, ""en"", ""zh-tw"")"),"1.所示價格已包含增值稅。 2.營業額超過起徵點的企業必須登記繳納增值稅。")</f>
        <v>1.所示價格已包含增值稅。 2.營業額超過起徵點的企業必須登記繳納增值稅。</v>
      </c>
    </row>
    <row r="1763">
      <c r="A1763" s="7" t="s">
        <v>5286</v>
      </c>
      <c r="B1763" s="7" t="s">
        <v>5287</v>
      </c>
      <c r="C1763" s="7" t="s">
        <v>17</v>
      </c>
      <c r="D1763" s="7" t="s">
        <v>5288</v>
      </c>
      <c r="E1763" s="3" t="str">
        <f>IFERROR(__xludf.DUMMYFUNCTION("GOOGLETRANSLATE(D1763, ""en"", ""zh-tw"")"),"1. 這棟大樓的外牆被暴風雨損壞了。 2. 她住在城市的遠郊。")</f>
        <v>1. 這棟大樓的外牆被暴風雨損壞了。 2. 她住在城市的遠郊。</v>
      </c>
    </row>
    <row r="1764">
      <c r="A1764" s="7" t="s">
        <v>5289</v>
      </c>
      <c r="B1764" s="7" t="s">
        <v>5290</v>
      </c>
      <c r="C1764" s="7" t="s">
        <v>279</v>
      </c>
      <c r="D1764" s="7" t="s">
        <v>5291</v>
      </c>
      <c r="E1764" s="3" t="str">
        <f>IFERROR(__xludf.DUMMYFUNCTION("GOOGLETRANSLATE(D1764, ""en"", ""zh-tw"")"),"1. 經理給每個團隊成員分配了任務。 2. 政府撥款用於道路維修。")</f>
        <v>1. 經理給每個團隊成員分配了任務。 2. 政府撥款用於道路維修。</v>
      </c>
    </row>
    <row r="1765">
      <c r="A1765" s="7" t="s">
        <v>5292</v>
      </c>
      <c r="B1765" s="7" t="s">
        <v>5293</v>
      </c>
      <c r="C1765" s="7" t="s">
        <v>279</v>
      </c>
      <c r="D1765" s="7" t="s">
        <v>5294</v>
      </c>
      <c r="E1765" s="3" t="str">
        <f>IFERROR(__xludf.DUMMYFUNCTION("GOOGLETRANSLATE(D1765, ""en"", ""zh-tw"")"),"1. 兩兄弟吵架後花了數年才和好。 2. 她在月底核對了帳目。 3. 他努力平衡工作和家庭生活。")</f>
        <v>1. 兩兄弟吵架後花了數年才和好。 2. 她在月底核對了帳目。 3. 他努力平衡工作和家庭生活。</v>
      </c>
    </row>
    <row r="1766">
      <c r="A1766" s="7" t="s">
        <v>5295</v>
      </c>
      <c r="B1766" s="7" t="s">
        <v>5296</v>
      </c>
      <c r="C1766" s="7" t="s">
        <v>7</v>
      </c>
      <c r="D1766" s="7" t="s">
        <v>5297</v>
      </c>
      <c r="E1766" s="3" t="str">
        <f>IFERROR(__xludf.DUMMYFUNCTION("GOOGLETRANSLATE(D1766, ""en"", ""zh-tw"")"),"1. 她生完孩子後就開​​始休產假了。 2. 這家醫院有現代化的產科病房。 3. 她懷孕期間買了好幾件孕婦裝。")</f>
        <v>1. 她生完孩子後就開​​始休產假了。 2. 這家醫院有現代化的產科病房。 3. 她懷孕期間買了好幾件孕婦裝。</v>
      </c>
    </row>
    <row r="1767">
      <c r="A1767" s="7" t="s">
        <v>5298</v>
      </c>
      <c r="B1767" s="7" t="s">
        <v>5299</v>
      </c>
      <c r="C1767" s="7" t="s">
        <v>17</v>
      </c>
      <c r="D1767" s="7" t="s">
        <v>5300</v>
      </c>
      <c r="E1767" s="3" t="str">
        <f>IFERROR(__xludf.DUMMYFUNCTION("GOOGLETRANSLATE(D1767, ""en"", ""zh-tw"")"),"1. 這輛車在高速公路上拋錨了。 2. 她聽到這個消息後崩潰大哭。 3. 你能幫我把費用明細列出來嗎？")</f>
        <v>1. 這輛車在高速公路上拋錨了。 2. 她聽到這個消息後崩潰大哭。 3. 你能幫我把費用明細列出來嗎？</v>
      </c>
    </row>
    <row r="1768">
      <c r="A1768" s="7" t="s">
        <v>5301</v>
      </c>
      <c r="B1768" s="7" t="s">
        <v>5302</v>
      </c>
      <c r="C1768" s="7" t="s">
        <v>7</v>
      </c>
      <c r="D1768" s="7" t="s">
        <v>5303</v>
      </c>
      <c r="E1768" s="3" t="str">
        <f>IFERROR(__xludf.DUMMYFUNCTION("GOOGLETRANSLATE(D1768, ""en"", ""zh-tw"")"),"1. 衛生檢查員來檢查了這家餐廳。 2. 她在辦理入住前仔細檢查了房間。")</f>
        <v>1. 衛生檢查員來檢查了這家餐廳。 2. 她在辦理入住前仔細檢查了房間。</v>
      </c>
    </row>
    <row r="1769">
      <c r="A1769" s="7" t="s">
        <v>5304</v>
      </c>
      <c r="B1769" s="7" t="s">
        <v>5305</v>
      </c>
      <c r="C1769" s="7" t="s">
        <v>17</v>
      </c>
      <c r="D1769" s="7" t="s">
        <v>5306</v>
      </c>
      <c r="E1769" s="3" t="str">
        <f>IFERROR(__xludf.DUMMYFUNCTION("GOOGLETRANSLATE(D1769, ""en"", ""zh-tw"")"),"1. 她打電話叫了維修人員來修理壞掉的洗衣機。 2. 維修人員在一個小時內就到了。")</f>
        <v>1. 她打電話叫了維修人員來修理壞掉的洗衣機。 2. 維修人員在一個小時內就到了。</v>
      </c>
    </row>
    <row r="1770">
      <c r="A1770" s="7" t="s">
        <v>5307</v>
      </c>
      <c r="B1770" s="7" t="s">
        <v>5308</v>
      </c>
      <c r="C1770" s="7" t="s">
        <v>17</v>
      </c>
      <c r="D1770" s="7" t="s">
        <v>5309</v>
      </c>
      <c r="E1770" s="3" t="str">
        <f>IFERROR(__xludf.DUMMYFUNCTION("GOOGLETRANSLATE(D1770, ""en"", ""zh-tw"")"),"1. 經理表示她會調查這起投訴。 2. 偵探正在調查火災原因。")</f>
        <v>1. 經理表示她會調查這起投訴。 2. 偵探正在調查火災原因。</v>
      </c>
    </row>
    <row r="1771">
      <c r="A1771" s="7" t="s">
        <v>5310</v>
      </c>
      <c r="B1771" s="7" t="s">
        <v>5311</v>
      </c>
      <c r="C1771" s="7" t="s">
        <v>7</v>
      </c>
      <c r="D1771" s="7" t="s">
        <v>5312</v>
      </c>
      <c r="E1771" s="3" t="str">
        <f>IFERROR(__xludf.DUMMYFUNCTION("GOOGLETRANSLATE(D1771, ""en"", ""zh-tw"")"),"1. 該公司共有200名員工。 2. 薪資部門負責所有薪資發放工作。")</f>
        <v>1. 該公司共有200名員工。 2. 薪資部門負責所有薪資發放工作。</v>
      </c>
    </row>
    <row r="1772">
      <c r="A1772" s="7" t="s">
        <v>5313</v>
      </c>
      <c r="B1772" s="7" t="s">
        <v>5314</v>
      </c>
      <c r="C1772" s="7" t="s">
        <v>17</v>
      </c>
      <c r="D1772" s="7" t="s">
        <v>5315</v>
      </c>
      <c r="E1772" s="3" t="str">
        <f>IFERROR(__xludf.DUMMYFUNCTION("GOOGLETRANSLATE(D1772, ""en"", ""zh-tw"")"),"1. 她買了一張折疊椅，用於戶外活動。 2. 折疊桌不用時可以輕鬆收納。")</f>
        <v>1. 她買了一張折疊椅，用於戶外活動。 2. 折疊桌不用時可以輕鬆收納。</v>
      </c>
    </row>
    <row r="1773">
      <c r="A1773" s="7" t="s">
        <v>5316</v>
      </c>
      <c r="B1773" s="7" t="s">
        <v>5317</v>
      </c>
      <c r="C1773" s="7" t="s">
        <v>17</v>
      </c>
      <c r="D1773" s="7" t="s">
        <v>5318</v>
      </c>
      <c r="E1773" s="3" t="str">
        <f>IFERROR(__xludf.DUMMYFUNCTION("GOOGLETRANSLATE(D1773, ""en"", ""zh-tw"")"),"1. 搭乘扶梯到二樓。 2. 扶梯壞了，所以他們走了樓梯。")</f>
        <v>1. 搭乘扶梯到二樓。 2. 扶梯壞了，所以他們走了樓梯。</v>
      </c>
    </row>
    <row r="1774">
      <c r="A1774" s="7" t="s">
        <v>5319</v>
      </c>
      <c r="B1774" s="7" t="s">
        <v>5320</v>
      </c>
      <c r="C1774" s="7" t="s">
        <v>17</v>
      </c>
      <c r="D1774" s="7" t="s">
        <v>5321</v>
      </c>
      <c r="E1774" s="3" t="str">
        <f>IFERROR(__xludf.DUMMYFUNCTION("GOOGLETRANSLATE(D1774, ""en"", ""zh-tw"")"),"1. 他們下午在商場購物。 2. 這家新商場有200多家商店和一個美食廣場。")</f>
        <v>1. 他們下午在商場購物。 2. 這家新商場有200多家商店和一個美食廣場。</v>
      </c>
    </row>
    <row r="1775">
      <c r="A1775" s="7" t="s">
        <v>5322</v>
      </c>
      <c r="B1775" s="7" t="s">
        <v>5323</v>
      </c>
      <c r="C1775" s="7" t="s">
        <v>7</v>
      </c>
      <c r="D1775" s="7" t="s">
        <v>5324</v>
      </c>
      <c r="E1775" s="3" t="str">
        <f>IFERROR(__xludf.DUMMYFUNCTION("GOOGLETRANSLATE(D1775, ""en"", ""zh-tw"")"),"1. 這家商店販售各種鞋類，從運動鞋到靴子應有盡有。 2. 合適的鞋子對健行很重要。")</f>
        <v>1. 這家商店販售各種鞋類，從運動鞋到靴子應有盡有。 2. 合適的鞋子對健行很重要。</v>
      </c>
    </row>
    <row r="1776">
      <c r="A1776" s="7" t="s">
        <v>5325</v>
      </c>
      <c r="B1776" s="7" t="s">
        <v>5326</v>
      </c>
      <c r="C1776" s="7" t="s">
        <v>7</v>
      </c>
      <c r="D1776" s="7" t="s">
        <v>5327</v>
      </c>
      <c r="E1776" s="3" t="str">
        <f>IFERROR(__xludf.DUMMYFUNCTION("GOOGLETRANSLATE(D1776, ""en"", ""zh-tw"")"),"1. 公司發起了一項招募新工程師的活動。 2. 她在招募部門工作。")</f>
        <v>1. 公司發起了一項招募新工程師的活動。 2. 她在招募部門工作。</v>
      </c>
    </row>
    <row r="1777">
      <c r="A1777" s="7" t="s">
        <v>5328</v>
      </c>
      <c r="B1777" s="7" t="s">
        <v>5329</v>
      </c>
      <c r="C1777" s="7" t="s">
        <v>17</v>
      </c>
      <c r="D1777" s="7" t="s">
        <v>5330</v>
      </c>
      <c r="E1777" s="3" t="str">
        <f>IFERROR(__xludf.DUMMYFUNCTION("GOOGLETRANSLATE(D1777, ""en"", ""zh-tw"")"),"1. 她聯絡了房東，告知暖氣壞了。 2. 租約到期時，房東提高了房租。")</f>
        <v>1. 她聯絡了房東，告知暖氣壞了。 2. 租約到期時，房東提高了房租。</v>
      </c>
    </row>
    <row r="1778">
      <c r="A1778" s="7" t="s">
        <v>5331</v>
      </c>
      <c r="B1778" s="7" t="s">
        <v>5332</v>
      </c>
      <c r="C1778" s="7" t="s">
        <v>17</v>
      </c>
      <c r="D1778" s="7" t="s">
        <v>5333</v>
      </c>
      <c r="E1778" s="3" t="str">
        <f>IFERROR(__xludf.DUMMYFUNCTION("GOOGLETRANSLATE(D1778, ""en"", ""zh-tw"")"),"1. 她推著購物車穿過超市。 2. 空服員推著購物車沿著走道走。 3. 那輛舊電車仍然沿著主街行駛。")</f>
        <v>1. 她推著購物車穿過超市。 2. 空服員推著購物車沿著走道走。 3. 那輛舊電車仍然沿著主街行駛。</v>
      </c>
    </row>
    <row r="1779">
      <c r="A1779" s="7" t="s">
        <v>5334</v>
      </c>
      <c r="B1779" s="7" t="s">
        <v>5335</v>
      </c>
      <c r="C1779" s="7" t="s">
        <v>7</v>
      </c>
      <c r="D1779" s="7" t="s">
        <v>5336</v>
      </c>
      <c r="E1779" s="3" t="str">
        <f>IFERROR(__xludf.DUMMYFUNCTION("GOOGLETRANSLATE(D1779, ""en"", ""zh-tw"")"),"1. 使用鍵盤輸入您的密碼。 2. 門鎖配有鍵盤，可安全進入。")</f>
        <v>1. 使用鍵盤輸入您的密碼。 2. 門鎖配有鍵盤，可安全進入。</v>
      </c>
    </row>
    <row r="1780">
      <c r="A1780" s="7" t="s">
        <v>5337</v>
      </c>
      <c r="B1780" s="7" t="s">
        <v>5338</v>
      </c>
      <c r="C1780" s="7" t="s">
        <v>17</v>
      </c>
      <c r="D1780" s="7" t="s">
        <v>5339</v>
      </c>
      <c r="E1780" s="3" t="str">
        <f>IFERROR(__xludf.DUMMYFUNCTION("GOOGLETRANSLATE(D1780, ""en"", ""zh-tw"")"),"1. 該公司去年獲利頗豐。 2. 她賣掉公寓賺了一筆錢。 3. 每個人都能從讀書中獲益。")</f>
        <v>1. 該公司去年獲利頗豐。 2. 她賣掉公寓賺了一筆錢。 3. 每個人都能從讀書中獲益。</v>
      </c>
    </row>
    <row r="1781">
      <c r="A1781" s="7" t="s">
        <v>5340</v>
      </c>
      <c r="B1781" s="7" t="s">
        <v>5341</v>
      </c>
      <c r="C1781" s="7" t="s">
        <v>17</v>
      </c>
      <c r="D1781" s="7" t="s">
        <v>5342</v>
      </c>
      <c r="E1781" s="3" t="str">
        <f>IFERROR(__xludf.DUMMYFUNCTION("GOOGLETRANSLATE(D1781, ""en"", ""zh-tw"")"),"1. 我們家牛奶喝完了，所以我得去商店買。 2. 在一個重要的會議期間，印表機沒紙了。")</f>
        <v>1. 我們家牛奶喝完了，所以我得去商店買。 2. 在一個重要的會議期間，印表機沒紙了。</v>
      </c>
    </row>
    <row r="1782">
      <c r="A1782" s="7" t="s">
        <v>5343</v>
      </c>
      <c r="B1782" s="7" t="s">
        <v>5344</v>
      </c>
      <c r="C1782" s="7" t="s">
        <v>17</v>
      </c>
      <c r="D1782" s="7" t="s">
        <v>5345</v>
      </c>
      <c r="E1782" s="3" t="str">
        <f>IFERROR(__xludf.DUMMYFUNCTION("GOOGLETRANSLATE(D1782, ""en"", ""zh-tw"")"),"1. 她在暴風雨來臨前囤積了食品雜貨。 2. 這家商店每年11月都會購買節慶商品。")</f>
        <v>1. 她在暴風雨來臨前囤積了食品雜貨。 2. 這家商店每年11月都會購買節慶商品。</v>
      </c>
    </row>
    <row r="1783">
      <c r="A1783" s="7" t="s">
        <v>5346</v>
      </c>
      <c r="B1783" s="7" t="s">
        <v>5347</v>
      </c>
      <c r="C1783" s="7" t="s">
        <v>17</v>
      </c>
      <c r="D1783" s="7" t="s">
        <v>5348</v>
      </c>
      <c r="E1783" s="3" t="str">
        <f>IFERROR(__xludf.DUMMYFUNCTION("GOOGLETRANSLATE(D1783, ""en"", ""zh-tw"")"),"1. 他把印表機裡的紙都用完了。 2. 她在年底前就把年假都用完了。")</f>
        <v>1. 他把印表機裡的紙都用完了。 2. 她在年底前就把年假都用完了。</v>
      </c>
    </row>
    <row r="1784">
      <c r="A1784" s="7" t="s">
        <v>5349</v>
      </c>
      <c r="B1784" s="7" t="s">
        <v>5350</v>
      </c>
      <c r="C1784" s="7" t="s">
        <v>7</v>
      </c>
      <c r="D1784" s="7" t="s">
        <v>5351</v>
      </c>
      <c r="E1784" s="3" t="str">
        <f>IFERROR(__xludf.DUMMYFUNCTION("GOOGLETRANSLATE(D1784, ""en"", ""zh-tw"")"),"1. 新進員工有三個月的試用期。 2. 法官判他兩年緩刑。")</f>
        <v>1. 新進員工有三個月的試用期。 2. 法官判他兩年緩刑。</v>
      </c>
    </row>
    <row r="1785">
      <c r="A1785" s="7" t="s">
        <v>5352</v>
      </c>
      <c r="B1785" s="7" t="s">
        <v>5353</v>
      </c>
      <c r="C1785" s="7" t="s">
        <v>17</v>
      </c>
      <c r="D1785" s="7" t="s">
        <v>5354</v>
      </c>
      <c r="E1785" s="3" t="str">
        <f>IFERROR(__xludf.DUMMYFUNCTION("GOOGLETRANSLATE(D1785, ""en"", ""zh-tw"")"),"1. 她在博物館禮品店買了一個紀念冰箱貼。 2. 他把票留作音樂會的紀念品。")</f>
        <v>1. 她在博物館禮品店買了一個紀念冰箱貼。 2. 他把票留作音樂會的紀念品。</v>
      </c>
    </row>
    <row r="1786">
      <c r="A1786" s="7" t="s">
        <v>5355</v>
      </c>
      <c r="B1786" s="7" t="s">
        <v>5356</v>
      </c>
      <c r="C1786" s="7" t="s">
        <v>7</v>
      </c>
      <c r="D1786" s="7" t="s">
        <v>5357</v>
      </c>
      <c r="E1786" s="3" t="str">
        <f>IFERROR(__xludf.DUMMYFUNCTION("GOOGLETRANSLATE(D1786, ""en"", ""zh-tw"")"),"1. 該應用程式擁有非常友善的使用者介面。 2. 這兩個系統透過共享資料庫進行互動。")</f>
        <v>1. 該應用程式擁有非常友善的使用者介面。 2. 這兩個系統透過共享資料庫進行互動。</v>
      </c>
    </row>
    <row r="1787">
      <c r="A1787" s="7" t="s">
        <v>5358</v>
      </c>
      <c r="B1787" s="7" t="s">
        <v>5359</v>
      </c>
      <c r="C1787" s="7" t="s">
        <v>7</v>
      </c>
      <c r="D1787" s="7" t="s">
        <v>5360</v>
      </c>
      <c r="E1787" s="3" t="str">
        <f>IFERROR(__xludf.DUMMYFUNCTION("GOOGLETRANSLATE(D1787, ""en"", ""zh-tw"")"),"1. 這座博物館重現了100年前的傳統村落。 2. 她試圖重現祖母的食譜。")</f>
        <v>1. 這座博物館重現了100年前的傳統村落。 2. 她試圖重現祖母的食譜。</v>
      </c>
    </row>
    <row r="1788">
      <c r="A1788" s="7" t="s">
        <v>5361</v>
      </c>
      <c r="B1788" s="7" t="s">
        <v>5362</v>
      </c>
      <c r="C1788" s="7" t="s">
        <v>17</v>
      </c>
      <c r="D1788" s="7" t="s">
        <v>5363</v>
      </c>
      <c r="E1788" s="3" t="str">
        <f>IFERROR(__xludf.DUMMYFUNCTION("GOOGLETRANSLATE(D1788, ""en"", ""zh-tw"")"),"1. 要跟上所有最新消息很困難。 2. 她定期鍛煉，以便跟上年輕同事的步伐。")</f>
        <v>1. 要跟上所有最新消息很困難。 2. 她定期鍛煉，以便跟上年輕同事的步伐。</v>
      </c>
    </row>
    <row r="1789">
      <c r="A1789" s="7" t="s">
        <v>5364</v>
      </c>
      <c r="B1789" s="7" t="s">
        <v>5365</v>
      </c>
      <c r="C1789" s="7" t="s">
        <v>7</v>
      </c>
      <c r="D1789" s="7" t="s">
        <v>5366</v>
      </c>
      <c r="E1789" s="3" t="str">
        <f>IFERROR(__xludf.DUMMYFUNCTION("GOOGLETRANSLATE(D1789, ""en"", ""zh-tw"")"),"1. 使用信用卡支付需支付額外費用。 2. 航空公司對乘客的額外行李收取額外費用。")</f>
        <v>1. 使用信用卡支付需支付額外費用。 2. 航空公司對乘客的額外行李收取額外費用。</v>
      </c>
    </row>
    <row r="1790">
      <c r="A1790" s="7" t="s">
        <v>5367</v>
      </c>
      <c r="B1790" s="7" t="s">
        <v>5368</v>
      </c>
      <c r="C1790" s="7" t="s">
        <v>279</v>
      </c>
      <c r="D1790" s="7" t="s">
        <v>5369</v>
      </c>
      <c r="E1790" s="3" t="str">
        <f>IFERROR(__xludf.DUMMYFUNCTION("GOOGLETRANSLATE(D1790, ""en"", ""zh-tw"")"),"1. 優秀的管理者會尊重並傾聽部屬的意見。 2. 個人利益必須服從團隊目標。 3. 她為了幫助他人而犧牲了自己的需求。")</f>
        <v>1. 優秀的管理者會尊重並傾聽部屬的意見。 2. 個人利益必須服從團隊目標。 3. 她為了幫助他人而犧牲了自己的需求。</v>
      </c>
    </row>
    <row r="1791">
      <c r="A1791" s="5"/>
      <c r="B1791" s="6"/>
      <c r="C1791" s="5"/>
      <c r="D1791" s="5"/>
      <c r="E1791" s="3"/>
    </row>
    <row r="1792">
      <c r="A1792" s="5"/>
      <c r="B1792" s="6"/>
      <c r="C1792" s="5"/>
      <c r="D1792" s="5"/>
      <c r="E1792" s="3"/>
    </row>
    <row r="1793">
      <c r="A1793" s="5"/>
      <c r="B1793" s="6"/>
      <c r="C1793" s="5"/>
      <c r="D1793" s="5"/>
      <c r="E1793" s="3"/>
    </row>
    <row r="1794">
      <c r="A1794" s="5"/>
      <c r="B1794" s="6"/>
      <c r="C1794" s="5"/>
      <c r="D1794" s="5"/>
      <c r="E1794" s="3"/>
    </row>
    <row r="1795">
      <c r="A1795" s="5"/>
      <c r="B1795" s="6"/>
      <c r="C1795" s="5"/>
      <c r="D1795" s="5"/>
      <c r="E1795" s="3"/>
    </row>
    <row r="1796">
      <c r="A1796" s="5"/>
      <c r="B1796" s="6"/>
      <c r="C1796" s="5"/>
      <c r="D1796" s="5"/>
      <c r="E1796" s="3"/>
    </row>
    <row r="1797">
      <c r="A1797" s="5"/>
      <c r="B1797" s="6"/>
      <c r="C1797" s="5"/>
      <c r="D1797" s="5"/>
      <c r="E1797" s="3"/>
    </row>
    <row r="1798">
      <c r="A1798" s="5"/>
      <c r="B1798" s="6"/>
      <c r="C1798" s="5"/>
      <c r="D1798" s="5"/>
      <c r="E1798" s="3"/>
    </row>
    <row r="1799">
      <c r="A1799" s="5"/>
      <c r="B1799" s="6"/>
      <c r="C1799" s="5"/>
      <c r="D1799" s="5"/>
      <c r="E1799" s="3"/>
    </row>
    <row r="1800">
      <c r="A1800" s="5"/>
      <c r="B1800" s="6"/>
      <c r="C1800" s="5"/>
      <c r="D1800" s="5"/>
      <c r="E1800" s="3"/>
    </row>
    <row r="1801">
      <c r="A1801" s="5"/>
      <c r="B1801" s="6"/>
      <c r="C1801" s="5"/>
      <c r="D1801" s="5"/>
      <c r="E1801" s="3"/>
    </row>
    <row r="1802">
      <c r="A1802" s="5"/>
      <c r="B1802" s="6"/>
      <c r="C1802" s="5"/>
      <c r="D1802" s="5"/>
      <c r="E1802" s="3"/>
    </row>
    <row r="1803">
      <c r="A1803" s="5"/>
      <c r="B1803" s="6"/>
      <c r="C1803" s="5"/>
      <c r="D1803" s="5"/>
      <c r="E1803" s="3"/>
    </row>
    <row r="1804">
      <c r="A1804" s="5"/>
      <c r="B1804" s="6"/>
      <c r="C1804" s="5"/>
      <c r="D1804" s="5"/>
      <c r="E1804" s="3"/>
    </row>
    <row r="1805">
      <c r="A1805" s="5"/>
      <c r="B1805" s="6"/>
      <c r="C1805" s="5"/>
      <c r="D1805" s="5"/>
      <c r="E1805" s="3"/>
    </row>
    <row r="1806">
      <c r="A1806" s="5"/>
      <c r="B1806" s="6"/>
      <c r="C1806" s="5"/>
      <c r="D1806" s="5"/>
      <c r="E1806" s="3"/>
    </row>
    <row r="1807">
      <c r="A1807" s="5"/>
      <c r="B1807" s="6"/>
      <c r="C1807" s="5"/>
      <c r="D1807" s="5"/>
      <c r="E1807" s="3"/>
    </row>
    <row r="1808">
      <c r="A1808" s="5"/>
      <c r="B1808" s="6"/>
      <c r="C1808" s="5"/>
      <c r="D1808" s="5"/>
      <c r="E1808" s="3"/>
    </row>
    <row r="1809">
      <c r="A1809" s="5"/>
      <c r="B1809" s="6"/>
      <c r="C1809" s="5"/>
      <c r="D1809" s="5"/>
      <c r="E1809" s="3"/>
    </row>
    <row r="1810">
      <c r="A1810" s="5"/>
      <c r="B1810" s="6"/>
      <c r="C1810" s="5"/>
      <c r="D1810" s="5"/>
      <c r="E1810" s="3"/>
    </row>
    <row r="1811">
      <c r="A1811" s="5"/>
      <c r="B1811" s="6"/>
      <c r="C1811" s="5"/>
      <c r="D1811" s="5"/>
      <c r="E1811" s="3"/>
    </row>
    <row r="1812">
      <c r="A1812" s="5"/>
      <c r="B1812" s="6"/>
      <c r="C1812" s="5"/>
      <c r="D1812" s="5"/>
      <c r="E1812" s="3"/>
    </row>
    <row r="1813">
      <c r="A1813" s="5"/>
      <c r="B1813" s="6"/>
      <c r="C1813" s="5"/>
      <c r="D1813" s="5"/>
      <c r="E1813" s="3"/>
    </row>
    <row r="1814">
      <c r="A1814" s="5"/>
      <c r="B1814" s="6"/>
      <c r="C1814" s="5"/>
      <c r="D1814" s="5"/>
      <c r="E1814" s="3"/>
    </row>
    <row r="1815">
      <c r="A1815" s="5"/>
      <c r="B1815" s="6"/>
      <c r="C1815" s="5"/>
      <c r="D1815" s="5"/>
      <c r="E1815" s="3"/>
    </row>
    <row r="1816">
      <c r="A1816" s="5"/>
      <c r="B1816" s="6"/>
      <c r="C1816" s="5"/>
      <c r="D1816" s="5"/>
      <c r="E1816" s="3"/>
    </row>
    <row r="1817">
      <c r="A1817" s="5"/>
      <c r="B1817" s="6"/>
      <c r="C1817" s="5"/>
      <c r="D1817" s="5"/>
      <c r="E1817" s="3"/>
    </row>
    <row r="1818">
      <c r="A1818" s="5"/>
      <c r="B1818" s="6"/>
      <c r="C1818" s="5"/>
      <c r="D1818" s="5"/>
      <c r="E1818" s="3"/>
    </row>
    <row r="1819">
      <c r="A1819" s="5"/>
      <c r="B1819" s="6"/>
      <c r="C1819" s="5"/>
      <c r="D1819" s="5"/>
      <c r="E1819" s="3"/>
    </row>
    <row r="1820">
      <c r="A1820" s="5"/>
      <c r="B1820" s="6"/>
      <c r="C1820" s="5"/>
      <c r="D1820" s="5"/>
      <c r="E1820" s="3"/>
    </row>
    <row r="1821">
      <c r="A1821" s="5"/>
      <c r="B1821" s="6"/>
      <c r="C1821" s="5"/>
      <c r="D1821" s="5"/>
      <c r="E1821" s="3"/>
    </row>
    <row r="1822">
      <c r="A1822" s="5"/>
      <c r="B1822" s="6"/>
      <c r="C1822" s="5"/>
      <c r="D1822" s="5"/>
      <c r="E1822" s="3"/>
    </row>
    <row r="1823">
      <c r="A1823" s="5"/>
      <c r="B1823" s="6"/>
      <c r="C1823" s="5"/>
      <c r="D1823" s="5"/>
      <c r="E1823" s="3"/>
    </row>
    <row r="1824">
      <c r="A1824" s="5"/>
      <c r="B1824" s="6"/>
      <c r="C1824" s="5"/>
      <c r="D1824" s="5"/>
      <c r="E1824" s="3"/>
    </row>
    <row r="1825">
      <c r="A1825" s="5"/>
      <c r="B1825" s="6"/>
      <c r="C1825" s="5"/>
      <c r="D1825" s="5"/>
      <c r="E1825" s="3"/>
    </row>
    <row r="1826">
      <c r="A1826" s="5"/>
      <c r="B1826" s="6"/>
      <c r="C1826" s="5"/>
      <c r="D1826" s="5"/>
      <c r="E1826" s="3"/>
    </row>
    <row r="1827">
      <c r="A1827" s="5"/>
      <c r="B1827" s="6"/>
      <c r="C1827" s="5"/>
      <c r="D1827" s="5"/>
      <c r="E1827" s="3"/>
    </row>
    <row r="1828">
      <c r="A1828" s="5"/>
      <c r="B1828" s="6"/>
      <c r="C1828" s="5"/>
      <c r="D1828" s="5"/>
      <c r="E1828" s="3"/>
    </row>
    <row r="1829">
      <c r="A1829" s="5"/>
      <c r="B1829" s="6"/>
      <c r="C1829" s="5"/>
      <c r="D1829" s="5"/>
      <c r="E1829" s="3"/>
    </row>
    <row r="1830">
      <c r="A1830" s="5"/>
      <c r="B1830" s="6"/>
      <c r="C1830" s="5"/>
      <c r="D1830" s="5"/>
      <c r="E1830" s="3"/>
    </row>
    <row r="1831">
      <c r="A1831" s="5"/>
      <c r="B1831" s="6"/>
      <c r="C1831" s="5"/>
      <c r="D1831" s="5"/>
      <c r="E1831" s="3"/>
    </row>
    <row r="1832">
      <c r="A1832" s="5"/>
      <c r="B1832" s="6"/>
      <c r="C1832" s="5"/>
      <c r="D1832" s="5"/>
      <c r="E1832" s="3"/>
    </row>
    <row r="1833">
      <c r="A1833" s="5"/>
      <c r="B1833" s="6"/>
      <c r="C1833" s="5"/>
      <c r="D1833" s="5"/>
      <c r="E1833" s="3"/>
    </row>
    <row r="1834">
      <c r="A1834" s="5"/>
      <c r="B1834" s="6"/>
      <c r="C1834" s="5"/>
      <c r="D1834" s="5"/>
      <c r="E1834" s="3"/>
    </row>
    <row r="1835">
      <c r="A1835" s="5"/>
      <c r="B1835" s="6"/>
      <c r="C1835" s="5"/>
      <c r="D1835" s="5"/>
      <c r="E1835" s="3"/>
    </row>
    <row r="1836">
      <c r="A1836" s="5"/>
      <c r="B1836" s="6"/>
      <c r="C1836" s="5"/>
      <c r="D1836" s="5"/>
      <c r="E1836" s="3"/>
    </row>
    <row r="1837">
      <c r="A1837" s="5"/>
      <c r="B1837" s="6"/>
      <c r="C1837" s="5"/>
      <c r="D1837" s="5"/>
      <c r="E1837" s="3"/>
    </row>
    <row r="1838">
      <c r="A1838" s="5"/>
      <c r="B1838" s="6"/>
      <c r="C1838" s="5"/>
      <c r="D1838" s="5"/>
      <c r="E1838" s="3"/>
    </row>
    <row r="1839">
      <c r="A1839" s="5"/>
      <c r="B1839" s="6"/>
      <c r="C1839" s="5"/>
      <c r="D1839" s="5"/>
      <c r="E1839" s="3"/>
    </row>
    <row r="1840">
      <c r="A1840" s="5"/>
      <c r="B1840" s="6"/>
      <c r="C1840" s="5"/>
      <c r="D1840" s="5"/>
      <c r="E1840" s="3"/>
    </row>
    <row r="1841">
      <c r="A1841" s="5"/>
      <c r="B1841" s="6"/>
      <c r="C1841" s="5"/>
      <c r="D1841" s="5"/>
      <c r="E1841" s="3"/>
    </row>
    <row r="1842">
      <c r="A1842" s="5"/>
      <c r="B1842" s="6"/>
      <c r="C1842" s="5"/>
      <c r="D1842" s="5"/>
      <c r="E1842" s="3"/>
    </row>
    <row r="1843">
      <c r="A1843" s="5"/>
      <c r="B1843" s="6"/>
      <c r="C1843" s="5"/>
      <c r="D1843" s="5"/>
      <c r="E1843" s="3"/>
    </row>
    <row r="1844">
      <c r="A1844" s="5"/>
      <c r="B1844" s="6"/>
      <c r="C1844" s="5"/>
      <c r="D1844" s="5"/>
      <c r="E1844" s="3"/>
    </row>
    <row r="1845">
      <c r="A1845" s="5"/>
      <c r="B1845" s="6"/>
      <c r="C1845" s="5"/>
      <c r="D1845" s="5"/>
      <c r="E1845" s="3"/>
    </row>
    <row r="1846">
      <c r="A1846" s="5"/>
      <c r="B1846" s="6"/>
      <c r="C1846" s="5"/>
      <c r="D1846" s="5"/>
      <c r="E1846" s="3"/>
    </row>
    <row r="1847">
      <c r="A1847" s="5"/>
      <c r="B1847" s="6"/>
      <c r="C1847" s="5"/>
      <c r="D1847" s="5"/>
      <c r="E1847" s="3"/>
    </row>
    <row r="1848">
      <c r="A1848" s="5"/>
      <c r="B1848" s="6"/>
      <c r="C1848" s="5"/>
      <c r="D1848" s="5"/>
      <c r="E1848" s="3"/>
    </row>
    <row r="1849">
      <c r="A1849" s="5"/>
      <c r="B1849" s="6"/>
      <c r="C1849" s="5"/>
      <c r="D1849" s="5"/>
      <c r="E1849" s="3"/>
    </row>
    <row r="1850">
      <c r="A1850" s="5"/>
      <c r="B1850" s="6"/>
      <c r="C1850" s="5"/>
      <c r="D1850" s="5"/>
      <c r="E1850" s="3"/>
    </row>
    <row r="1851">
      <c r="A1851" s="5"/>
      <c r="B1851" s="6"/>
      <c r="C1851" s="5"/>
      <c r="D1851" s="5"/>
      <c r="E1851" s="3"/>
    </row>
    <row r="1852">
      <c r="A1852" s="5"/>
      <c r="B1852" s="6"/>
      <c r="C1852" s="5"/>
      <c r="D1852" s="5"/>
      <c r="E1852" s="3"/>
    </row>
    <row r="1853">
      <c r="A1853" s="5"/>
      <c r="B1853" s="6"/>
      <c r="C1853" s="5"/>
      <c r="D1853" s="5"/>
      <c r="E1853" s="3"/>
    </row>
    <row r="1854">
      <c r="A1854" s="5"/>
      <c r="B1854" s="6"/>
      <c r="C1854" s="5"/>
      <c r="D1854" s="5"/>
      <c r="E1854" s="3"/>
    </row>
    <row r="1855">
      <c r="A1855" s="5"/>
      <c r="B1855" s="6"/>
      <c r="C1855" s="5"/>
      <c r="D1855" s="5"/>
      <c r="E1855" s="3"/>
    </row>
    <row r="1856">
      <c r="A1856" s="5"/>
      <c r="B1856" s="6"/>
      <c r="C1856" s="5"/>
      <c r="D1856" s="5"/>
      <c r="E1856" s="3"/>
    </row>
    <row r="1857">
      <c r="A1857" s="5"/>
      <c r="B1857" s="6"/>
      <c r="C1857" s="5"/>
      <c r="D1857" s="5"/>
      <c r="E1857" s="3"/>
    </row>
    <row r="1858">
      <c r="A1858" s="5"/>
      <c r="B1858" s="6"/>
      <c r="C1858" s="5"/>
      <c r="D1858" s="5"/>
      <c r="E1858" s="3"/>
    </row>
    <row r="1859">
      <c r="A1859" s="5"/>
      <c r="B1859" s="6"/>
      <c r="C1859" s="5"/>
      <c r="D1859" s="5"/>
      <c r="E1859" s="3"/>
    </row>
    <row r="1860">
      <c r="A1860" s="5"/>
      <c r="B1860" s="6"/>
      <c r="C1860" s="5"/>
      <c r="D1860" s="5"/>
      <c r="E1860" s="3"/>
    </row>
    <row r="1861">
      <c r="A1861" s="5"/>
      <c r="B1861" s="6"/>
      <c r="C1861" s="5"/>
      <c r="D1861" s="5"/>
      <c r="E1861" s="3"/>
    </row>
    <row r="1862">
      <c r="A1862" s="5"/>
      <c r="B1862" s="6"/>
      <c r="C1862" s="5"/>
      <c r="D1862" s="5"/>
      <c r="E1862" s="3"/>
    </row>
    <row r="1863">
      <c r="A1863" s="5"/>
      <c r="B1863" s="6"/>
      <c r="C1863" s="5"/>
      <c r="D1863" s="5"/>
      <c r="E1863" s="3"/>
    </row>
    <row r="1864">
      <c r="A1864" s="5"/>
      <c r="B1864" s="6"/>
      <c r="C1864" s="5"/>
      <c r="D1864" s="5"/>
      <c r="E1864" s="3"/>
    </row>
    <row r="1865">
      <c r="A1865" s="5"/>
      <c r="B1865" s="6"/>
      <c r="C1865" s="5"/>
      <c r="D1865" s="5"/>
      <c r="E1865" s="3"/>
    </row>
    <row r="1866">
      <c r="A1866" s="5"/>
      <c r="B1866" s="6"/>
      <c r="C1866" s="5"/>
      <c r="D1866" s="5"/>
      <c r="E1866" s="3"/>
    </row>
    <row r="1867">
      <c r="A1867" s="5"/>
      <c r="B1867" s="6"/>
      <c r="C1867" s="5"/>
      <c r="D1867" s="5"/>
      <c r="E1867" s="3"/>
    </row>
    <row r="1868">
      <c r="A1868" s="5"/>
      <c r="B1868" s="6"/>
      <c r="C1868" s="5"/>
      <c r="D1868" s="5"/>
      <c r="E1868" s="3"/>
    </row>
    <row r="1869">
      <c r="A1869" s="5"/>
      <c r="B1869" s="6"/>
      <c r="C1869" s="5"/>
      <c r="D1869" s="5"/>
      <c r="E1869" s="3"/>
    </row>
    <row r="1870">
      <c r="A1870" s="5"/>
      <c r="B1870" s="6"/>
      <c r="C1870" s="5"/>
      <c r="D1870" s="5"/>
      <c r="E1870" s="3"/>
    </row>
    <row r="1871">
      <c r="A1871" s="5"/>
      <c r="B1871" s="6"/>
      <c r="C1871" s="5"/>
      <c r="D1871" s="5"/>
      <c r="E1871" s="3"/>
    </row>
    <row r="1872">
      <c r="A1872" s="5"/>
      <c r="B1872" s="6"/>
      <c r="C1872" s="5"/>
      <c r="D1872" s="5"/>
      <c r="E1872" s="3"/>
    </row>
    <row r="1873">
      <c r="A1873" s="5"/>
      <c r="B1873" s="6"/>
      <c r="C1873" s="5"/>
      <c r="D1873" s="5"/>
      <c r="E1873" s="3"/>
    </row>
    <row r="1874">
      <c r="A1874" s="5"/>
      <c r="B1874" s="6"/>
      <c r="C1874" s="5"/>
      <c r="D1874" s="5"/>
      <c r="E1874" s="3"/>
    </row>
    <row r="1875">
      <c r="A1875" s="5"/>
      <c r="B1875" s="6"/>
      <c r="C1875" s="5"/>
      <c r="D1875" s="5"/>
      <c r="E1875" s="3"/>
    </row>
    <row r="1876">
      <c r="A1876" s="5"/>
      <c r="B1876" s="6"/>
      <c r="C1876" s="5"/>
      <c r="D1876" s="5"/>
      <c r="E1876" s="3"/>
    </row>
    <row r="1877">
      <c r="A1877" s="5"/>
      <c r="B1877" s="6"/>
      <c r="C1877" s="5"/>
      <c r="D1877" s="5"/>
      <c r="E1877" s="3"/>
    </row>
    <row r="1878">
      <c r="A1878" s="5"/>
      <c r="B1878" s="6"/>
      <c r="C1878" s="5"/>
      <c r="D1878" s="5"/>
      <c r="E1878" s="3"/>
    </row>
    <row r="1879">
      <c r="A1879" s="5"/>
      <c r="B1879" s="6"/>
      <c r="C1879" s="5"/>
      <c r="D1879" s="5"/>
      <c r="E1879" s="3"/>
    </row>
    <row r="1880">
      <c r="A1880" s="5"/>
      <c r="B1880" s="6"/>
      <c r="C1880" s="5"/>
      <c r="D1880" s="5"/>
      <c r="E1880" s="3"/>
    </row>
    <row r="1881">
      <c r="A1881" s="5"/>
      <c r="B1881" s="6"/>
      <c r="C1881" s="5"/>
      <c r="D1881" s="5"/>
      <c r="E1881" s="3"/>
    </row>
    <row r="1882">
      <c r="A1882" s="5"/>
      <c r="B1882" s="6"/>
      <c r="C1882" s="5"/>
      <c r="D1882" s="5"/>
      <c r="E1882" s="3"/>
    </row>
    <row r="1883">
      <c r="A1883" s="5"/>
      <c r="B1883" s="6"/>
      <c r="C1883" s="5"/>
      <c r="D1883" s="5"/>
      <c r="E1883" s="3"/>
    </row>
    <row r="1884">
      <c r="A1884" s="5"/>
      <c r="B1884" s="6"/>
      <c r="C1884" s="5"/>
      <c r="D1884" s="5"/>
      <c r="E1884" s="3"/>
    </row>
    <row r="1885">
      <c r="A1885" s="5"/>
      <c r="B1885" s="6"/>
      <c r="C1885" s="5"/>
      <c r="D1885" s="5"/>
      <c r="E1885" s="3"/>
    </row>
    <row r="1886">
      <c r="A1886" s="5"/>
      <c r="B1886" s="6"/>
      <c r="C1886" s="5"/>
      <c r="D1886" s="5"/>
      <c r="E1886" s="3"/>
    </row>
    <row r="1887">
      <c r="A1887" s="5"/>
      <c r="B1887" s="6"/>
      <c r="C1887" s="5"/>
      <c r="D1887" s="5"/>
      <c r="E1887" s="3"/>
    </row>
    <row r="1888">
      <c r="A1888" s="5"/>
      <c r="B1888" s="6"/>
      <c r="C1888" s="5"/>
      <c r="D1888" s="5"/>
      <c r="E1888" s="3"/>
    </row>
    <row r="1889">
      <c r="A1889" s="5"/>
      <c r="B1889" s="6"/>
      <c r="C1889" s="5"/>
      <c r="D1889" s="5"/>
      <c r="E1889" s="3"/>
    </row>
    <row r="1890">
      <c r="A1890" s="5"/>
      <c r="B1890" s="6"/>
      <c r="C1890" s="5"/>
      <c r="D1890" s="5"/>
      <c r="E1890" s="3"/>
    </row>
    <row r="1891">
      <c r="A1891" s="5"/>
      <c r="B1891" s="6"/>
      <c r="C1891" s="5"/>
      <c r="D1891" s="5"/>
      <c r="E1891" s="3"/>
    </row>
    <row r="1892">
      <c r="A1892" s="5"/>
      <c r="B1892" s="6"/>
      <c r="C1892" s="5"/>
      <c r="D1892" s="5"/>
      <c r="E1892" s="3"/>
    </row>
    <row r="1893">
      <c r="A1893" s="5"/>
      <c r="B1893" s="6"/>
      <c r="C1893" s="5"/>
      <c r="D1893" s="5"/>
      <c r="E1893" s="3"/>
    </row>
    <row r="1894">
      <c r="A1894" s="5"/>
      <c r="B1894" s="6"/>
      <c r="C1894" s="5"/>
      <c r="D1894" s="5"/>
      <c r="E1894" s="3"/>
    </row>
    <row r="1895">
      <c r="A1895" s="5"/>
      <c r="B1895" s="6"/>
      <c r="C1895" s="5"/>
      <c r="D1895" s="5"/>
      <c r="E1895" s="3"/>
    </row>
    <row r="1896">
      <c r="A1896" s="5"/>
      <c r="B1896" s="6"/>
      <c r="C1896" s="5"/>
      <c r="D1896" s="5"/>
      <c r="E1896" s="3"/>
    </row>
    <row r="1897">
      <c r="A1897" s="5"/>
      <c r="B1897" s="6"/>
      <c r="C1897" s="5"/>
      <c r="D1897" s="5"/>
      <c r="E1897" s="3"/>
    </row>
    <row r="1898">
      <c r="A1898" s="5"/>
      <c r="B1898" s="6"/>
      <c r="C1898" s="5"/>
      <c r="D1898" s="5"/>
      <c r="E1898" s="3"/>
    </row>
    <row r="1899">
      <c r="A1899" s="5"/>
      <c r="B1899" s="6"/>
      <c r="C1899" s="5"/>
      <c r="D1899" s="5"/>
      <c r="E1899" s="3"/>
    </row>
    <row r="1900">
      <c r="A1900" s="5"/>
      <c r="B1900" s="6"/>
      <c r="C1900" s="5"/>
      <c r="D1900" s="5"/>
      <c r="E1900" s="3"/>
    </row>
    <row r="1901">
      <c r="A1901" s="5"/>
      <c r="B1901" s="6"/>
      <c r="C1901" s="5"/>
      <c r="D1901" s="5"/>
      <c r="E1901" s="3"/>
    </row>
    <row r="1902">
      <c r="A1902" s="5"/>
      <c r="B1902" s="6"/>
      <c r="C1902" s="5"/>
      <c r="D1902" s="5"/>
      <c r="E1902" s="3"/>
    </row>
    <row r="1903">
      <c r="A1903" s="5"/>
      <c r="B1903" s="6"/>
      <c r="C1903" s="5"/>
      <c r="D1903" s="5"/>
      <c r="E1903" s="3"/>
    </row>
    <row r="1904">
      <c r="A1904" s="5"/>
      <c r="B1904" s="6"/>
      <c r="C1904" s="5"/>
      <c r="D1904" s="5"/>
      <c r="E1904" s="3"/>
    </row>
    <row r="1905">
      <c r="A1905" s="5"/>
      <c r="B1905" s="6"/>
      <c r="C1905" s="5"/>
      <c r="D1905" s="5"/>
      <c r="E1905" s="3"/>
    </row>
    <row r="1906">
      <c r="A1906" s="5"/>
      <c r="B1906" s="6"/>
      <c r="C1906" s="5"/>
      <c r="D1906" s="5"/>
      <c r="E1906" s="3"/>
    </row>
    <row r="1907">
      <c r="A1907" s="5"/>
      <c r="B1907" s="6"/>
      <c r="C1907" s="5"/>
      <c r="D1907" s="5"/>
      <c r="E1907" s="3"/>
    </row>
    <row r="1908">
      <c r="A1908" s="5"/>
      <c r="B1908" s="6"/>
      <c r="C1908" s="5"/>
      <c r="D1908" s="5"/>
      <c r="E1908" s="3"/>
    </row>
    <row r="1909">
      <c r="A1909" s="5"/>
      <c r="B1909" s="6"/>
      <c r="C1909" s="5"/>
      <c r="D1909" s="5"/>
      <c r="E1909" s="3"/>
    </row>
    <row r="1910">
      <c r="A1910" s="5"/>
      <c r="B1910" s="6"/>
      <c r="C1910" s="5"/>
      <c r="D1910" s="5"/>
      <c r="E1910" s="3"/>
    </row>
    <row r="1911">
      <c r="A1911" s="5"/>
      <c r="B1911" s="6"/>
      <c r="C1911" s="5"/>
      <c r="D1911" s="5"/>
      <c r="E1911" s="3"/>
    </row>
    <row r="1912">
      <c r="A1912" s="5"/>
      <c r="B1912" s="6"/>
      <c r="C1912" s="5"/>
      <c r="D1912" s="5"/>
      <c r="E1912" s="3"/>
    </row>
    <row r="1913">
      <c r="A1913" s="5"/>
      <c r="B1913" s="6"/>
      <c r="C1913" s="5"/>
      <c r="D1913" s="5"/>
      <c r="E1913" s="3"/>
    </row>
    <row r="1914">
      <c r="A1914" s="5"/>
      <c r="B1914" s="6"/>
      <c r="C1914" s="5"/>
      <c r="D1914" s="5"/>
      <c r="E1914" s="3"/>
    </row>
    <row r="1915">
      <c r="A1915" s="5"/>
      <c r="B1915" s="6"/>
      <c r="C1915" s="5"/>
      <c r="D1915" s="5"/>
      <c r="E1915" s="3"/>
    </row>
    <row r="1916">
      <c r="A1916" s="5"/>
      <c r="B1916" s="6"/>
      <c r="C1916" s="5"/>
      <c r="D1916" s="5"/>
      <c r="E1916" s="3"/>
    </row>
    <row r="1917">
      <c r="A1917" s="5"/>
      <c r="B1917" s="6"/>
      <c r="C1917" s="5"/>
      <c r="D1917" s="5"/>
      <c r="E1917" s="3"/>
    </row>
    <row r="1918">
      <c r="A1918" s="5"/>
      <c r="B1918" s="6"/>
      <c r="C1918" s="5"/>
      <c r="D1918" s="5"/>
      <c r="E1918" s="3"/>
    </row>
    <row r="1919">
      <c r="A1919" s="5"/>
      <c r="B1919" s="6"/>
      <c r="C1919" s="5"/>
      <c r="D1919" s="5"/>
      <c r="E1919" s="3"/>
    </row>
    <row r="1920">
      <c r="A1920" s="5"/>
      <c r="B1920" s="6"/>
      <c r="C1920" s="5"/>
      <c r="D1920" s="5"/>
      <c r="E1920" s="3"/>
    </row>
    <row r="1921">
      <c r="A1921" s="5"/>
      <c r="B1921" s="6"/>
      <c r="C1921" s="5"/>
      <c r="D1921" s="5"/>
      <c r="E1921" s="3"/>
    </row>
    <row r="1922">
      <c r="A1922" s="5"/>
      <c r="B1922" s="6"/>
      <c r="C1922" s="5"/>
      <c r="D1922" s="5"/>
      <c r="E1922" s="3"/>
    </row>
    <row r="1923">
      <c r="A1923" s="5"/>
      <c r="B1923" s="6"/>
      <c r="C1923" s="5"/>
      <c r="D1923" s="5"/>
      <c r="E1923" s="3"/>
    </row>
    <row r="1924">
      <c r="A1924" s="5"/>
      <c r="B1924" s="6"/>
      <c r="C1924" s="5"/>
      <c r="D1924" s="5"/>
      <c r="E1924" s="3"/>
    </row>
    <row r="1925">
      <c r="A1925" s="5"/>
      <c r="B1925" s="6"/>
      <c r="C1925" s="5"/>
      <c r="D1925" s="5"/>
      <c r="E1925" s="3"/>
    </row>
    <row r="1926">
      <c r="A1926" s="5"/>
      <c r="B1926" s="6"/>
      <c r="C1926" s="5"/>
      <c r="D1926" s="5"/>
      <c r="E1926" s="3"/>
    </row>
    <row r="1927">
      <c r="A1927" s="5"/>
      <c r="B1927" s="6"/>
      <c r="C1927" s="5"/>
      <c r="D1927" s="5"/>
      <c r="E1927" s="3"/>
    </row>
    <row r="1928">
      <c r="A1928" s="5"/>
      <c r="B1928" s="6"/>
      <c r="C1928" s="5"/>
      <c r="D1928" s="5"/>
      <c r="E1928" s="3"/>
    </row>
    <row r="1929">
      <c r="A1929" s="5"/>
      <c r="B1929" s="6"/>
      <c r="C1929" s="5"/>
      <c r="D1929" s="5"/>
      <c r="E1929" s="3"/>
    </row>
    <row r="1930">
      <c r="A1930" s="5"/>
      <c r="B1930" s="6"/>
      <c r="C1930" s="5"/>
      <c r="D1930" s="5"/>
      <c r="E1930" s="3"/>
    </row>
    <row r="1931">
      <c r="A1931" s="5"/>
      <c r="B1931" s="6"/>
      <c r="C1931" s="5"/>
      <c r="D1931" s="5"/>
      <c r="E1931" s="3"/>
    </row>
    <row r="1932">
      <c r="A1932" s="5"/>
      <c r="B1932" s="6"/>
      <c r="C1932" s="5"/>
      <c r="D1932" s="5"/>
      <c r="E1932" s="3"/>
    </row>
    <row r="1933">
      <c r="A1933" s="5"/>
      <c r="B1933" s="6"/>
      <c r="C1933" s="5"/>
      <c r="D1933" s="5"/>
      <c r="E1933" s="3"/>
    </row>
    <row r="1934">
      <c r="A1934" s="5"/>
      <c r="B1934" s="6"/>
      <c r="C1934" s="5"/>
      <c r="D1934" s="5"/>
      <c r="E1934" s="3"/>
    </row>
    <row r="1935">
      <c r="A1935" s="5"/>
      <c r="B1935" s="6"/>
      <c r="C1935" s="5"/>
      <c r="D1935" s="5"/>
      <c r="E1935" s="3"/>
    </row>
    <row r="1936">
      <c r="A1936" s="5"/>
      <c r="B1936" s="6"/>
      <c r="C1936" s="5"/>
      <c r="D1936" s="5"/>
      <c r="E1936" s="3"/>
    </row>
    <row r="1937">
      <c r="A1937" s="5"/>
      <c r="B1937" s="6"/>
      <c r="C1937" s="5"/>
      <c r="D1937" s="5"/>
      <c r="E1937" s="3"/>
    </row>
    <row r="1938">
      <c r="A1938" s="5"/>
      <c r="B1938" s="6"/>
      <c r="C1938" s="5"/>
      <c r="D1938" s="5"/>
      <c r="E1938" s="3"/>
    </row>
    <row r="1939">
      <c r="A1939" s="5"/>
      <c r="B1939" s="6"/>
      <c r="C1939" s="5"/>
      <c r="D1939" s="5"/>
      <c r="E1939" s="3"/>
    </row>
    <row r="1940">
      <c r="A1940" s="5"/>
      <c r="B1940" s="6"/>
      <c r="C1940" s="5"/>
      <c r="D1940" s="5"/>
      <c r="E1940" s="3"/>
    </row>
    <row r="1941">
      <c r="A1941" s="5"/>
      <c r="B1941" s="6"/>
      <c r="C1941" s="5"/>
      <c r="D1941" s="5"/>
      <c r="E1941" s="3"/>
    </row>
    <row r="1942">
      <c r="A1942" s="5"/>
      <c r="B1942" s="6"/>
      <c r="C1942" s="5"/>
      <c r="D1942" s="5"/>
      <c r="E1942" s="3"/>
    </row>
    <row r="1943">
      <c r="A1943" s="5"/>
      <c r="B1943" s="6"/>
      <c r="C1943" s="5"/>
      <c r="D1943" s="5"/>
      <c r="E1943" s="3"/>
    </row>
    <row r="1944">
      <c r="A1944" s="5"/>
      <c r="B1944" s="6"/>
      <c r="C1944" s="5"/>
      <c r="D1944" s="5"/>
      <c r="E1944" s="3"/>
    </row>
    <row r="1945">
      <c r="A1945" s="5"/>
      <c r="B1945" s="6"/>
      <c r="C1945" s="5"/>
      <c r="D1945" s="5"/>
      <c r="E1945" s="3"/>
    </row>
    <row r="1946">
      <c r="A1946" s="5"/>
      <c r="B1946" s="6"/>
      <c r="C1946" s="5"/>
      <c r="D1946" s="5"/>
      <c r="E1946" s="3"/>
    </row>
    <row r="1947">
      <c r="A1947" s="5"/>
      <c r="B1947" s="6"/>
      <c r="C1947" s="5"/>
      <c r="D1947" s="5"/>
      <c r="E1947" s="3"/>
    </row>
    <row r="1948">
      <c r="A1948" s="5"/>
      <c r="B1948" s="6"/>
      <c r="C1948" s="5"/>
      <c r="D1948" s="5"/>
      <c r="E1948" s="3"/>
    </row>
    <row r="1949">
      <c r="A1949" s="5"/>
      <c r="B1949" s="6"/>
      <c r="C1949" s="5"/>
      <c r="D1949" s="5"/>
      <c r="E1949" s="3"/>
    </row>
    <row r="1950">
      <c r="A1950" s="5"/>
      <c r="B1950" s="6"/>
      <c r="C1950" s="5"/>
      <c r="D1950" s="5"/>
      <c r="E1950" s="3"/>
    </row>
    <row r="1951">
      <c r="A1951" s="5"/>
      <c r="B1951" s="6"/>
      <c r="C1951" s="5"/>
      <c r="D1951" s="5"/>
      <c r="E1951" s="3"/>
    </row>
    <row r="1952">
      <c r="A1952" s="5"/>
      <c r="B1952" s="6"/>
      <c r="C1952" s="5"/>
      <c r="D1952" s="5"/>
      <c r="E1952" s="3"/>
    </row>
    <row r="1953">
      <c r="A1953" s="5"/>
      <c r="B1953" s="6"/>
      <c r="C1953" s="5"/>
      <c r="D1953" s="5"/>
      <c r="E1953" s="3"/>
    </row>
    <row r="1954">
      <c r="A1954" s="5"/>
      <c r="B1954" s="6"/>
      <c r="C1954" s="5"/>
      <c r="D1954" s="5"/>
      <c r="E1954" s="3"/>
    </row>
    <row r="1955">
      <c r="A1955" s="5"/>
      <c r="B1955" s="6"/>
      <c r="C1955" s="5"/>
      <c r="D1955" s="5"/>
      <c r="E1955" s="3"/>
    </row>
    <row r="1956">
      <c r="A1956" s="5"/>
      <c r="B1956" s="6"/>
      <c r="C1956" s="5"/>
      <c r="D1956" s="5"/>
      <c r="E1956" s="3"/>
    </row>
    <row r="1957">
      <c r="A1957" s="5"/>
      <c r="B1957" s="6"/>
      <c r="C1957" s="5"/>
      <c r="D1957" s="5"/>
      <c r="E1957" s="3"/>
    </row>
    <row r="1958">
      <c r="A1958" s="5"/>
      <c r="B1958" s="6"/>
      <c r="C1958" s="5"/>
      <c r="D1958" s="5"/>
      <c r="E1958" s="3"/>
    </row>
    <row r="1959">
      <c r="A1959" s="5"/>
      <c r="B1959" s="6"/>
      <c r="C1959" s="5"/>
      <c r="D1959" s="5"/>
      <c r="E1959" s="3"/>
    </row>
    <row r="1960">
      <c r="A1960" s="5"/>
      <c r="B1960" s="6"/>
      <c r="C1960" s="5"/>
      <c r="D1960" s="5"/>
      <c r="E1960" s="3"/>
    </row>
    <row r="1961">
      <c r="A1961" s="5"/>
      <c r="B1961" s="6"/>
      <c r="C1961" s="5"/>
      <c r="D1961" s="5"/>
      <c r="E1961" s="3"/>
    </row>
    <row r="1962">
      <c r="A1962" s="5"/>
      <c r="B1962" s="6"/>
      <c r="C1962" s="5"/>
      <c r="D1962" s="5"/>
      <c r="E1962" s="3"/>
    </row>
    <row r="1963">
      <c r="A1963" s="5"/>
      <c r="B1963" s="6"/>
      <c r="C1963" s="5"/>
      <c r="D1963" s="5"/>
      <c r="E1963" s="3"/>
    </row>
    <row r="1964">
      <c r="A1964" s="5"/>
      <c r="B1964" s="6"/>
      <c r="C1964" s="5"/>
      <c r="D1964" s="5"/>
      <c r="E1964" s="3"/>
    </row>
  </sheetData>
  <conditionalFormatting sqref="A1:A1964">
    <cfRule type="expression" dxfId="0" priority="1">
      <formula>countif($A$1:$A$1970, A1)&gt;1</formula>
    </cfRule>
  </conditionalFormatting>
  <conditionalFormatting sqref="E1:E1964">
    <cfRule type="expression" dxfId="0" priority="2">
      <formula>ISERROR(E1:E1971)</formula>
    </cfRule>
  </conditionalFormatting>
  <drawing r:id="rId1"/>
</worksheet>
</file>